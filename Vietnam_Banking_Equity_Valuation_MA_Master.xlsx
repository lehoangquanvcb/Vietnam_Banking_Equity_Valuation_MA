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c3e54a15a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dd025ed36745c3"/>
    <x:sheet xmlns:r="http://schemas.openxmlformats.org/officeDocument/2006/relationships" name="BANK_UNIVERSE" sheetId="2" r:id="R4526b171880b4904"/>
    <x:sheet xmlns:r="http://schemas.openxmlformats.org/officeDocument/2006/relationships" name="VALUATION_ASSUMPTIONS" sheetId="3" r:id="R8eee7fc6c56741b1"/>
    <x:sheet xmlns:r="http://schemas.openxmlformats.org/officeDocument/2006/relationships" name="VALUATION_TEMPLATE" sheetId="4" r:id="R6f662f0fc2444a00"/>
    <x:sheet xmlns:r="http://schemas.openxmlformats.org/officeDocument/2006/relationships" name="M&amp;A_ASSUMPTIONS" sheetId="5" r:id="R6e6e64a939ab4fac"/>
    <x:sheet xmlns:r="http://schemas.openxmlformats.org/officeDocument/2006/relationships" name="DEAL_SIMULATOR" sheetId="6" r:id="R4f6d64c91a484480"/>
    <x:sheet xmlns:r="http://schemas.openxmlformats.org/officeDocument/2006/relationships" name="DEAL_PRECEDENTS" sheetId="7" r:id="Rfd8a61c94f2f4bb5"/>
    <x:sheet xmlns:r="http://schemas.openxmlformats.org/officeDocument/2006/relationships" name="RESTRUCTURING" sheetId="8" r:id="R04c934cd82fe4993"/>
    <x:sheet xmlns:r="http://schemas.openxmlformats.org/officeDocument/2006/relationships" name="GOVERNANCE" sheetId="9" r:id="R98f229d573bd430d"/>
    <x:sheet xmlns:r="http://schemas.openxmlformats.org/officeDocument/2006/relationships" name="SOURCES" sheetId="10" r:id="R8b2fd757febf4d5e"/>
    <x:sheet xmlns:r="http://schemas.openxmlformats.org/officeDocument/2006/relationships" name="BANK_ASSUMPTIONS" sheetId="11" r:id="Rfe1752ffefcc4a2c"/>
    <x:sheet xmlns:r="http://schemas.openxmlformats.org/officeDocument/2006/relationships" name="TRONG_SO_CHAM_DIEM" sheetId="12" r:id="R50f4378b7a3843d1"/>
    <x:sheet xmlns:r="http://schemas.openxmlformats.org/officeDocument/2006/relationships" name="CAU_HINH_BAO_CAO" sheetId="13" r:id="R16800dec49ec4e25"/>
    <x:sheet xmlns:r="http://schemas.openxmlformats.org/officeDocument/2006/relationships" name="KIEM_SOAT_PHAT_HANH" sheetId="14" r:id="R459bbe83794f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;[Red](#,##0);-"/>
    <x:numFmt numFmtId="202" formatCode="0.0%;[Red](0.0%);-"/>
    <x:numFmt numFmtId="203" formatCode="#,##0.0;[Red](#,##0.0);-"/>
    <x:numFmt numFmtId="204" formatCode="0.00x"/>
    <x:numFmt numFmtId="205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3" fillId="4" borderId="0" xfId="0" applyNumberFormat="1" applyFont="1" applyFill="1" applyBorder="1"/>
    <x:xf numFmtId="204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3" fillId="9" borderId="0" xfId="0" applyNumberFormat="1" applyFont="1" applyFill="1" applyBorder="1"/>
    <x:xf numFmtId="200" fontId="3" fillId="9" borderId="0" xfId="0" applyNumberFormat="1" applyFont="1" applyFill="1" applyBorder="1"/>
    <x:xf numFmtId="0" fontId="3" fillId="10" borderId="0" xfId="0" applyNumberFormat="1" applyFont="1" applyFill="1" applyBorder="1"/>
    <x:xf numFmtId="20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/>
    <x:xf numFmtId="200" fontId="3" fillId="13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/>
    <x:xf numFmtId="205" fontId="3" fillId="16" borderId="0" xfId="0" applyNumberFormat="1" applyFont="1" applyFill="1" applyBorder="1"/>
    <x:xf numFmtId="200" fontId="3" fillId="16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b23d89b8e45c5" /><Relationship Type="http://schemas.openxmlformats.org/officeDocument/2006/relationships/theme" Target="/xl/theme/theme1.xml" Id="R171b46dc59544f4d" /><Relationship Type="http://schemas.openxmlformats.org/officeDocument/2006/relationships/sharedStrings" Target="/xl/sharedStrings.xml" Id="Rd3a8e964ada94158" /><Relationship Type="http://schemas.openxmlformats.org/officeDocument/2006/relationships/worksheet" Target="/xl/worksheets/sheet1.xml" Id="R46dd025ed36745c3" /><Relationship Type="http://schemas.openxmlformats.org/officeDocument/2006/relationships/worksheet" Target="/xl/worksheets/sheet2.xml" Id="R4526b171880b4904" /><Relationship Type="http://schemas.openxmlformats.org/officeDocument/2006/relationships/worksheet" Target="/xl/worksheets/sheet3.xml" Id="R8eee7fc6c56741b1" /><Relationship Type="http://schemas.openxmlformats.org/officeDocument/2006/relationships/worksheet" Target="/xl/worksheets/sheet4.xml" Id="R6f662f0fc2444a00" /><Relationship Type="http://schemas.openxmlformats.org/officeDocument/2006/relationships/worksheet" Target="/xl/worksheets/sheet5.xml" Id="R6e6e64a939ab4fac" /><Relationship Type="http://schemas.openxmlformats.org/officeDocument/2006/relationships/worksheet" Target="/xl/worksheets/sheet6.xml" Id="R4f6d64c91a484480" /><Relationship Type="http://schemas.openxmlformats.org/officeDocument/2006/relationships/worksheet" Target="/xl/worksheets/sheet7.xml" Id="Rfd8a61c94f2f4bb5" /><Relationship Type="http://schemas.openxmlformats.org/officeDocument/2006/relationships/worksheet" Target="/xl/worksheets/sheet8.xml" Id="R04c934cd82fe4993" /><Relationship Type="http://schemas.openxmlformats.org/officeDocument/2006/relationships/worksheet" Target="/xl/worksheets/sheet9.xml" Id="R98f229d573bd430d" /><Relationship Type="http://schemas.openxmlformats.org/officeDocument/2006/relationships/worksheet" Target="/xl/worksheets/sheet10.xml" Id="R8b2fd757febf4d5e" /><Relationship Type="http://schemas.openxmlformats.org/officeDocument/2006/relationships/worksheet" Target="/xl/worksheets/sheet11.xml" Id="Rfe1752ffefcc4a2c" /><Relationship Type="http://schemas.openxmlformats.org/officeDocument/2006/relationships/worksheet" Target="/xl/worksheets/sheet12.xml" Id="R50f4378b7a3843d1" /><Relationship Type="http://schemas.openxmlformats.org/officeDocument/2006/relationships/worksheet" Target="/xl/worksheets/sheet13.xml" Id="R16800dec49ec4e25" /><Relationship Type="http://schemas.openxmlformats.org/officeDocument/2006/relationships/worksheet" Target="/xl/worksheets/sheet14.xml" Id="R459bbe83794f46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8870c465bd43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Fair Value by Method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Fair Value / Share</c:v>
          </c:tx>
          <c:cat>
            <c:strRef>
              <c:f>'VALUATION_TEMPLATE'!$F$4:$F$7</c:f>
              <c:strCache>
                <c:ptCount val="0"/>
              </c:strCache>
            </c:strRef>
          </c:cat>
          <c:val>
            <c:numRef>
              <c:f>'VALUATION_TEMPLATE'!$G$4:$G$7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8870c465bd433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d2cf79e99574d9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28" customHeight="1">
      <x:c r="A1" s="14" t="str">
        <x:v>VIETNAM BANKING EQUITY VALUATION &amp; M&amp;A INTELLIGENCE — MASTER</x:v>
      </x:c>
      <x:c r="B1" s="14"/>
      <x:c r="C1" s="4"/>
      <x:c r="D1" s="4"/>
      <x:c r="E1" s="4"/>
      <x:c r="F1" s="4"/>
      <x:c r="G1" s="4"/>
      <x:c r="H1" s="4"/>
    </x:row>
    <x:row r="3">
      <x:c r="A3" s="10" t="str">
        <x:v>Hạng mục</x:v>
      </x:c>
      <x:c r="B3" s="10" t="str">
        <x:v>Thiết kế</x:v>
      </x:c>
    </x:row>
    <x:row r="4">
      <x:c r="A4" t="str">
        <x:v>Mục tiêu</x:v>
      </x:c>
      <x:c r="B4" t="str">
        <x:v>Định giá cổ phiếu ngân hàng + M&amp;A / control value + tái cơ cấu + PPA.</x:v>
      </x:c>
    </x:row>
    <x:row r="5">
      <x:c r="A5" t="str">
        <x:v>Kiến trúc</x:v>
      </x:c>
      <x:c r="B5" t="str">
        <x:v>Vnstock Sponsor Bronze chạy local → ACTUAL CSV → valuation outputs → GitHub → Streamlit Cloud read-only.</x:v>
      </x:c>
    </x:row>
    <x:row r="6">
      <x:c r="A6" t="str">
        <x:v>Equity valuation</x:v>
      </x:c>
      <x:c r="B6" t="str">
        <x:v>Residual Income / Excess Return là phương pháp nội tại chính; P/B, P/TBV, peer và historical multiples là cross-check.</x:v>
      </x:c>
    </x:row>
    <x:row r="7">
      <x:c r="A7" t="str">
        <x:v>M&amp;A valuation</x:v>
      </x:c>
      <x:c r="B7" t="str">
        <x:v>Standalone value → control premium → PV synergy → integration cost → recapitalization → consideration / offer price.</x:v>
      </x:c>
    </x:row>
    <x:row r="8">
      <x:c r="A8" t="str">
        <x:v>Restructuring</x:v>
      </x:c>
      <x:c r="B8" t="str">
        <x:v>Reported Equity → credit/provision adjustments → Adjusted Equity/TBV → normalized ROE / justified P/B.</x:v>
      </x:c>
    </x:row>
    <x:row r="9">
      <x:c r="A9" t="str">
        <x:v>PPA</x:v>
      </x:c>
      <x:c r="B9" t="str">
        <x:v>Consideration → fair value identifiable net assets → goodwill hoặc bargain purchase.</x:v>
      </x:c>
    </x:row>
    <x:row r="10">
      <x:c r="A10" t="str">
        <x:v>Data lineage</x:v>
      </x:c>
      <x:c r="B10" t="str">
        <x:v>ACTUAL = dữ liệu nguồn; CALCULATED = công thức; ASSUMPTION = scenario. Không thay assumption thành dữ liệu thực.</x:v>
      </x:c>
    </x:row>
    <x:row r="11">
      <x:c r="A11" t="str">
        <x:v>Excel input màu</x:v>
      </x:c>
      <x:c r="B11" t="str">
        <x:v>Ô input/assumption: chữ xanh, nền vàng. Formula: chữ đen. Link nội bộ: chữ xanh lá.</x:v>
      </x:c>
    </x:row>
    <x:row r="12">
      <x:c r="A12" t="str">
        <x:v>Cập nhật</x:v>
      </x:c>
      <x:c r="B12" t="str">
        <x:v>Chỉnh assumptions tại Master/config rồi chạy RUN_UPDATE_AND_PUSH.bat.</x:v>
      </x:c>
    </x:row>
    <x:row r="13">
      <x:c r="A13" t="str">
        <x:v>Vnstock Fundamental</x:v>
      </x:c>
      <x:c r="B13" t="str">
        <x:v>https://vnstocks.com/docs/vnstock-data/fundamental-layer-v3</x:v>
      </x:c>
    </x:row>
    <x:row r="14">
      <x:c r="A14" t="str">
        <x:v>Vnstock Market</x:v>
      </x:c>
      <x:c r="B14" t="str">
        <x:v>https://vnstocks.com/docs/vnstock-data/market-layer-v3</x:v>
      </x:c>
    </x:row>
    <x:row r="15">
      <x:c r="A15" t="str">
        <x:v>IFRS 3</x:v>
      </x:c>
      <x:c r="B15" t="str">
        <x:v>https://www.ifrs.org/issued-standards/list-of-standards/ifrs-3-business-combinations/</x:v>
      </x:c>
    </x:row>
    <x:row r="16">
      <x:c r="A16" s="44" t="str">
        <x:v>Bank-specific assumptions</x:v>
      </x:c>
      <x:c r="B16" s="43" t="str">
        <x:v>Beta, size premium, LT growth, normalized ROE override và payout ratio của từng ngân hàng được quản lý tại sheet BANK_ASSUMPTIONS và export sang config trước mỗi refresh.</x:v>
      </x:c>
    </x:row>
    <x:row r="17">
      <x:c r="A17" s="44" t="str">
        <x:v>V2 - Deliverable chuyên nghiệp</x:v>
      </x:c>
      <x:c r="B17" s="43" t="str">
        <x:v>Streamlit có 3 chế độ: Đầu tư cổ phiếu / M&amp;A-Thâu tóm / Tái cơ cấu; có Chế độ trình bày; thẻ điểm 6 trụ cột; Narrative Engine; xuất PDF + Word khoảng 10 trang A4 từ cùng valuation outputs.</x:v>
      </x:c>
    </x:row>
    <x:row r="18">
      <x:c r="A18" s="44" t="str">
        <x:v>V3 - Client Ready / Quality Gate</x:v>
      </x:c>
      <x:c r="B18" s="43" t="str">
        <x:v>Tự kiểm tra độ phủ dữ liệu trước khi phát hành; phân loại CHÍNH THỨC / BẢN NHÁP / CHƯA ĐỦ DỮ LIỆU; đóng dấu draft trên PDF; tự phát hiện các điểm cần normalization như ROE bất thường, NPL/CAR và P/B vượt vùng hợp lý.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4" hidden="0" customWidth="1"/>
  </x:cols>
  <x:sheetData>
    <x:row r="1" ht="28" customHeight="1">
      <x:c r="A1" s="4" t="str">
        <x:v>BANK UNIVERSE &amp; PEER GROUPS</x:v>
      </x:c>
      <x:c r="B1" s="4"/>
      <x:c r="C1" s="4"/>
      <x:c r="D1" s="4"/>
    </x:row>
    <x:row r="3">
      <x:c r="A3" s="10" t="str">
        <x:v>Ticker</x:v>
      </x:c>
      <x:c r="B3" s="10" t="str">
        <x:v>Peer Group</x:v>
      </x:c>
      <x:c r="C3" s="10" t="str">
        <x:v>Ownership Type</x:v>
      </x:c>
      <x:c r="D3" s="10" t="str">
        <x:v>Included</x:v>
      </x:c>
    </x:row>
    <x:row r="4">
      <x:c r="A4" t="str">
        <x:v>VCB</x:v>
      </x:c>
      <x:c r="B4" t="str">
        <x:v>State-owned large</x:v>
      </x:c>
      <x:c r="C4" t="str">
        <x:v>SOCB</x:v>
      </x:c>
      <x:c r="D4" t="str">
        <x:v>Yes</x:v>
      </x:c>
    </x:row>
    <x:row r="5">
      <x:c r="A5" t="str">
        <x:v>BID</x:v>
      </x:c>
      <x:c r="B5" t="str">
        <x:v>State-owned large</x:v>
      </x:c>
      <x:c r="C5" t="str">
        <x:v>SOCB</x:v>
      </x:c>
      <x:c r="D5" t="str">
        <x:v>Yes</x:v>
      </x:c>
    </x:row>
    <x:row r="6">
      <x:c r="A6" t="str">
        <x:v>CTG</x:v>
      </x:c>
      <x:c r="B6" t="str">
        <x:v>State-owned large</x:v>
      </x:c>
      <x:c r="C6" t="str">
        <x:v>SOCB</x:v>
      </x:c>
      <x:c r="D6" t="str">
        <x:v>Yes</x:v>
      </x:c>
    </x:row>
    <x:row r="7">
      <x:c r="A7" t="str">
        <x:v>TCB</x:v>
      </x:c>
      <x:c r="B7" t="str">
        <x:v>Private large</x:v>
      </x:c>
      <x:c r="C7" t="str">
        <x:v>Private</x:v>
      </x:c>
      <x:c r="D7" t="str">
        <x:v>Yes</x:v>
      </x:c>
    </x:row>
    <x:row r="8">
      <x:c r="A8" t="str">
        <x:v>MBB</x:v>
      </x:c>
      <x:c r="B8" t="str">
        <x:v>Private large</x:v>
      </x:c>
      <x:c r="C8" t="str">
        <x:v>Private</x:v>
      </x:c>
      <x:c r="D8" t="str">
        <x:v>Yes</x:v>
      </x:c>
    </x:row>
    <x:row r="9">
      <x:c r="A9" t="str">
        <x:v>ACB</x:v>
      </x:c>
      <x:c r="B9" t="str">
        <x:v>Private large</x:v>
      </x:c>
      <x:c r="C9" t="str">
        <x:v>Private</x:v>
      </x:c>
      <x:c r="D9" t="str">
        <x:v>Yes</x:v>
      </x:c>
    </x:row>
    <x:row r="10">
      <x:c r="A10" t="str">
        <x:v>HDB</x:v>
      </x:c>
      <x:c r="B10" t="str">
        <x:v>Private large</x:v>
      </x:c>
      <x:c r="C10" t="str">
        <x:v>Private</x:v>
      </x:c>
      <x:c r="D10" t="str">
        <x:v>Yes</x:v>
      </x:c>
    </x:row>
    <x:row r="11">
      <x:c r="A11" t="str">
        <x:v>VPB</x:v>
      </x:c>
      <x:c r="B11" t="str">
        <x:v>Private large</x:v>
      </x:c>
      <x:c r="C11" t="str">
        <x:v>Private</x:v>
      </x:c>
      <x:c r="D11" t="str">
        <x:v>Yes</x:v>
      </x:c>
    </x:row>
    <x:row r="12">
      <x:c r="A12" t="str">
        <x:v>STB</x:v>
      </x:c>
      <x:c r="B12" t="str">
        <x:v>Private large</x:v>
      </x:c>
      <x:c r="C12" t="str">
        <x:v>Private</x:v>
      </x:c>
      <x:c r="D12" t="str">
        <x:v>Yes</x:v>
      </x:c>
    </x:row>
    <x:row r="13">
      <x:c r="A13" t="str">
        <x:v>VIB</x:v>
      </x:c>
      <x:c r="B13" t="str">
        <x:v>Private mid</x:v>
      </x:c>
      <x:c r="C13" t="str">
        <x:v>Private</x:v>
      </x:c>
      <x:c r="D13" t="str">
        <x:v>Yes</x:v>
      </x:c>
    </x:row>
    <x:row r="14">
      <x:c r="A14" t="str">
        <x:v>SHB</x:v>
      </x:c>
      <x:c r="B14" t="str">
        <x:v>Private mid</x:v>
      </x:c>
      <x:c r="C14" t="str">
        <x:v>Private</x:v>
      </x:c>
      <x:c r="D14" t="str">
        <x:v>Yes</x:v>
      </x:c>
    </x:row>
    <x:row r="15">
      <x:c r="A15" t="str">
        <x:v>TPB</x:v>
      </x:c>
      <x:c r="B15" t="str">
        <x:v>Private mid</x:v>
      </x:c>
      <x:c r="C15" t="str">
        <x:v>Private</x:v>
      </x:c>
      <x:c r="D15" t="str">
        <x:v>Yes</x:v>
      </x:c>
    </x:row>
    <x:row r="16">
      <x:c r="A16" t="str">
        <x:v>LPB</x:v>
      </x:c>
      <x:c r="B16" t="str">
        <x:v>Private mid</x:v>
      </x:c>
      <x:c r="C16" t="str">
        <x:v>Private</x:v>
      </x:c>
      <x:c r="D16" t="str">
        <x:v>Yes</x:v>
      </x:c>
    </x:row>
    <x:row r="17">
      <x:c r="A17" t="str">
        <x:v>OCB</x:v>
      </x:c>
      <x:c r="B17" t="str">
        <x:v>Private mid</x:v>
      </x:c>
      <x:c r="C17" t="str">
        <x:v>Private</x:v>
      </x:c>
      <x:c r="D17" t="str">
        <x:v>Yes</x:v>
      </x:c>
    </x:row>
    <x:row r="18">
      <x:c r="A18" t="str">
        <x:v>MSB</x:v>
      </x:c>
      <x:c r="B18" t="str">
        <x:v>Private mid</x:v>
      </x:c>
      <x:c r="C18" t="str">
        <x:v>Private</x:v>
      </x:c>
      <x:c r="D18" t="str">
        <x:v>Yes</x:v>
      </x:c>
    </x:row>
    <x:row r="19">
      <x:c r="A19" t="str">
        <x:v>SSB</x:v>
      </x:c>
      <x:c r="B19" t="str">
        <x:v>Private mid</x:v>
      </x:c>
      <x:c r="C19" t="str">
        <x:v>Private</x:v>
      </x:c>
      <x:c r="D19" t="str">
        <x:v>Yes</x:v>
      </x:c>
    </x:row>
    <x:row r="20">
      <x:c r="A20" t="str">
        <x:v>EIB</x:v>
      </x:c>
      <x:c r="B20" t="str">
        <x:v>Private mid</x:v>
      </x:c>
      <x:c r="C20" t="str">
        <x:v>Private</x:v>
      </x:c>
      <x:c r="D20" t="str">
        <x:v>Yes</x:v>
      </x:c>
    </x:row>
    <x:row r="21">
      <x:c r="A21" t="str">
        <x:v>NAB</x:v>
      </x:c>
      <x:c r="B21" t="str">
        <x:v>Private small</x:v>
      </x:c>
      <x:c r="C21" t="str">
        <x:v>Private</x:v>
      </x:c>
      <x:c r="D21" t="str">
        <x:v>Yes</x:v>
      </x:c>
    </x:row>
    <x:row r="22">
      <x:c r="A22" t="str">
        <x:v>KLB</x:v>
      </x:c>
      <x:c r="B22" t="str">
        <x:v>Private small</x:v>
      </x:c>
      <x:c r="C22" t="str">
        <x:v>Private</x:v>
      </x:c>
      <x:c r="D22" t="str">
        <x:v>Yes</x:v>
      </x:c>
    </x:row>
    <x:row r="23">
      <x:c r="A23" t="str">
        <x:v>BAB</x:v>
      </x:c>
      <x:c r="B23" t="str">
        <x:v>Private small</x:v>
      </x:c>
      <x:c r="C23" t="str">
        <x:v>Private</x:v>
      </x:c>
      <x:c r="D23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18" hidden="0" customWidth="1"/>
    <x:col min="5" max="5" width="42" hidden="0" customWidth="1"/>
    <x:col min="6" max="6" width="26" hidden="0" customWidth="1"/>
    <x:col min="7" max="7" width="38" hidden="0" customWidth="1"/>
  </x:cols>
  <x:sheetData>
    <x:row r="1" ht="28" customHeight="1">
      <x:c r="A1" s="14" t="str">
        <x:v>EQUITY VALUATION ASSUMPTIONS</x:v>
      </x:c>
      <x:c r="B1" s="14"/>
      <x:c r="C1" s="14"/>
      <x:c r="D1" s="14"/>
      <x:c r="E1" s="14"/>
      <x:c r="F1" s="14"/>
      <x:c r="G1" s="14"/>
    </x:row>
    <x:row r="3">
      <x:c r="A3" s="10" t="str">
        <x:v>Parameter</x:v>
      </x:c>
      <x:c r="B3" s="10" t="str">
        <x:v>Value</x:v>
      </x:c>
      <x:c r="C3" s="10" t="str">
        <x:v>Unit</x:v>
      </x:c>
      <x:c r="D3" s="10" t="str">
        <x:v>Type</x:v>
      </x:c>
      <x:c r="E3" s="10" t="str">
        <x:v>Meaning</x:v>
      </x:c>
      <x:c r="F3" s="10" t="str">
        <x:v>Model use</x:v>
      </x:c>
      <x:c r="G3" s="10" t="str">
        <x:v>Source / rationale</x:v>
      </x:c>
    </x:row>
    <x:row r="4">
      <x:c r="A4" t="str">
        <x:v>Risk-free rate</x:v>
      </x:c>
      <x:c r="B4" s="20" t="n">
        <x:v>0.05</x:v>
      </x:c>
      <x:c r="C4" t="str">
        <x:v>%</x:v>
      </x:c>
      <x:c r="D4" t="str">
        <x:v>ASSUMPTION</x:v>
      </x:c>
      <x:c r="E4" t="str">
        <x:v>Long-term VND risk-free proxy</x:v>
      </x:c>
      <x:c r="F4" t="str">
        <x:v>COE</x:v>
      </x:c>
      <x:c r="G4" t="str">
        <x:v>User editable</x:v>
      </x:c>
    </x:row>
    <x:row r="5">
      <x:c r="A5" t="str">
        <x:v>Equity risk premium</x:v>
      </x:c>
      <x:c r="B5" s="20" t="n">
        <x:v>0.075</x:v>
      </x:c>
      <x:c r="C5" t="str">
        <x:v>%</x:v>
      </x:c>
      <x:c r="D5" t="str">
        <x:v>ASSUMPTION</x:v>
      </x:c>
      <x:c r="E5" t="str">
        <x:v>Vietnam equity risk premium</x:v>
      </x:c>
      <x:c r="F5" t="str">
        <x:v>COE</x:v>
      </x:c>
      <x:c r="G5" t="str">
        <x:v>User editable</x:v>
      </x:c>
    </x:row>
    <x:row r="6">
      <x:c r="A6" t="str">
        <x:v>Default beta</x:v>
      </x:c>
      <x:c r="B6" s="18" t="n">
        <x:v>1</x:v>
      </x:c>
      <x:c r="C6" t="str">
        <x:v>x</x:v>
      </x:c>
      <x:c r="D6" t="str">
        <x:v>ASSUMPTION</x:v>
      </x:c>
      <x:c r="E6" t="str">
        <x:v>Fallback bank beta</x:v>
      </x:c>
      <x:c r="F6" t="str">
        <x:v>COE</x:v>
      </x:c>
      <x:c r="G6" t="str">
        <x:v>User editable</x:v>
      </x:c>
    </x:row>
    <x:row r="7">
      <x:c r="A7" t="str">
        <x:v>Default size premium</x:v>
      </x:c>
      <x:c r="B7" s="20" t="n">
        <x:v>0.005</x:v>
      </x:c>
      <x:c r="C7" t="str">
        <x:v>%</x:v>
      </x:c>
      <x:c r="D7" t="str">
        <x:v>ASSUMPTION</x:v>
      </x:c>
      <x:c r="E7" t="str">
        <x:v>Small/mid-bank premium</x:v>
      </x:c>
      <x:c r="F7" t="str">
        <x:v>COE</x:v>
      </x:c>
      <x:c r="G7" t="str">
        <x:v>User editable</x:v>
      </x:c>
    </x:row>
    <x:row r="8">
      <x:c r="A8" t="str">
        <x:v>Long-term growth</x:v>
      </x:c>
      <x:c r="B8" s="20" t="n">
        <x:v>0.05</x:v>
      </x:c>
      <x:c r="C8" t="str">
        <x:v>%</x:v>
      </x:c>
      <x:c r="D8" t="str">
        <x:v>ASSUMPTION</x:v>
      </x:c>
      <x:c r="E8" t="str">
        <x:v>Terminal residual income growth</x:v>
      </x:c>
      <x:c r="F8" t="str">
        <x:v>RI / Justified P/B</x:v>
      </x:c>
      <x:c r="G8" t="str">
        <x:v>User editable</x:v>
      </x:c>
    </x:row>
    <x:row r="9">
      <x:c r="A9" t="str">
        <x:v>Normalized ROE anchor</x:v>
      </x:c>
      <x:c r="B9" s="18" t="n">
        <x:v>0.15</x:v>
      </x:c>
      <x:c r="C9" t="str">
        <x:v>%</x:v>
      </x:c>
      <x:c r="D9" t="str">
        <x:v>ASSUMPTION</x:v>
      </x:c>
      <x:c r="E9" t="str">
        <x:v>Long-run profitability anchor</x:v>
      </x:c>
      <x:c r="F9" t="str">
        <x:v>ROE mean reversion</x:v>
      </x:c>
      <x:c r="G9" t="str">
        <x:v>User editable</x:v>
      </x:c>
    </x:row>
    <x:row r="10">
      <x:c r="A10" t="str">
        <x:v>Forecast years</x:v>
      </x:c>
      <x:c r="B10" s="20" t="n">
        <x:v>5</x:v>
      </x:c>
      <x:c r="C10" t="str">
        <x:v>years</x:v>
      </x:c>
      <x:c r="D10" t="str">
        <x:v>ASSUMPTION</x:v>
      </x:c>
      <x:c r="E10" t="str">
        <x:v>Explicit RI forecast</x:v>
      </x:c>
      <x:c r="F10" t="str">
        <x:v>Residual Income</x:v>
      </x:c>
      <x:c r="G10" t="str">
        <x:v>User editable</x:v>
      </x:c>
    </x:row>
    <x:row r="11">
      <x:c r="A11" t="str">
        <x:v>Payout ratio</x:v>
      </x:c>
      <x:c r="B11" s="20" t="n">
        <x:v>0.2</x:v>
      </x:c>
      <x:c r="C11" t="str">
        <x:v>%</x:v>
      </x:c>
      <x:c r="D11" t="str">
        <x:v>ASSUMPTION</x:v>
      </x:c>
      <x:c r="E11" t="str">
        <x:v>Dividend payout / capital retention</x:v>
      </x:c>
      <x:c r="F11" t="str">
        <x:v>Residual Income</x:v>
      </x:c>
      <x:c r="G11" t="str">
        <x:v>User editable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4" hidden="0" customWidth="1"/>
    <x:col min="6" max="6" width="24" hidden="0" customWidth="1"/>
    <x:col min="7" max="7" width="20" hidden="0" customWidth="1"/>
    <x:col min="8" max="8" width="16" hidden="0" customWidth="1"/>
  </x:cols>
  <x:sheetData>
    <x:row r="1" ht="28" customHeight="1">
      <x:c r="A1" s="4" t="str">
        <x:v>SINGLE-BANK VALUATION TEMPLATE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Input</x:v>
      </x:c>
      <x:c r="B3" s="10" t="str">
        <x:v>Value</x:v>
      </x:c>
      <x:c r="C3" s="10" t="str">
        <x:v>Unit</x:v>
      </x:c>
      <x:c r="D3" s="10" t="str">
        <x:v>Lineage</x:v>
      </x:c>
      <x:c r="F3" s="10" t="str">
        <x:v>Valuation Method</x:v>
      </x:c>
      <x:c r="G3" s="10" t="str">
        <x:v>Fair Value / Share</x:v>
      </x:c>
      <x:c r="H3" s="10" t="str">
        <x:v>Upside</x:v>
      </x:c>
    </x:row>
    <x:row r="4">
      <x:c r="A4" t="str">
        <x:v>Market Price</x:v>
      </x:c>
      <x:c r="B4" s="26" t="n">
        <x:v>30000</x:v>
      </x:c>
      <x:c r="C4" t="str">
        <x:v>VND/cp</x:v>
      </x:c>
      <x:c r="D4" t="str">
        <x:v>ACTUAL</x:v>
      </x:c>
      <x:c r="F4" t="str">
        <x:v>Justified P/B</x:v>
      </x:c>
      <x:c r="G4" s="22" t="n">
        <x:f>MAX(0.4,MIN(3.5,(B7-B9)/(B8-B9)))*B5</x:f>
        <x:v>30000</x:v>
      </x:c>
      <x:c r="H4" s="24" t="n">
        <x:f>G4/B4-1</x:f>
        <x:v>0</x:v>
      </x:c>
    </x:row>
    <x:row r="5">
      <x:c r="A5" t="str">
        <x:v>BVPS</x:v>
      </x:c>
      <x:c r="B5" s="26" t="n">
        <x:v>20000</x:v>
      </x:c>
      <x:c r="C5" t="str">
        <x:v>VND/cp</x:v>
      </x:c>
      <x:c r="D5" t="str">
        <x:v>ACTUAL/CALCULATED</x:v>
      </x:c>
      <x:c r="F5" t="str">
        <x:v>Residual Income</x:v>
      </x:c>
      <x:c r="G5" s="22" t="n">
        <x:f>$B$5+SUM(H15:H19)+((($B$7-$B$8)*F19)*(1+$B$9)/($B$8-$B$9))/(1+$B$8)^$B$11</x:f>
        <x:v>35997.30058580381</x:v>
      </x:c>
      <x:c r="H5" s="24" t="n">
        <x:f>G5/B4-1</x:f>
        <x:v>0.19991001952679355</x:v>
      </x:c>
    </x:row>
    <x:row r="6">
      <x:c r="A6" t="str">
        <x:v>ROE current</x:v>
      </x:c>
      <x:c r="B6" s="20" t="n">
        <x:v>0.2</x:v>
      </x:c>
      <x:c r="C6" t="str">
        <x:v>%</x:v>
      </x:c>
      <x:c r="D6" t="str">
        <x:v>ACTUAL</x:v>
      </x:c>
      <x:c r="F6" t="str">
        <x:v>Peer P/B</x:v>
      </x:c>
      <x:c r="G6" s="22" t="n">
        <x:f>1.5*$B$5</x:f>
        <x:v>30000</x:v>
      </x:c>
      <x:c r="H6" s="24" t="n">
        <x:f>G6/B4-1</x:f>
        <x:v>0</x:v>
      </x:c>
    </x:row>
    <x:row r="7">
      <x:c r="A7" t="str">
        <x:v>ROE normalized</x:v>
      </x:c>
      <x:c r="B7" s="20" t="n">
        <x:v>0.17</x:v>
      </x:c>
      <x:c r="C7" t="str">
        <x:v>%</x:v>
      </x:c>
      <x:c r="D7" t="str">
        <x:v>ASSUMPTION</x:v>
      </x:c>
      <x:c r="F7" t="str">
        <x:v>Historical P/B</x:v>
      </x:c>
      <x:c r="G7" s="22" t="n">
        <x:f>1.4*$B$5</x:f>
        <x:v>28000</x:v>
      </x:c>
      <x:c r="H7" s="24" t="n">
        <x:f>G7/B4-1</x:f>
        <x:v>-0.06666666666666665</x:v>
      </x:c>
    </x:row>
    <x:row r="8">
      <x:c r="A8" t="str">
        <x:v>COE</x:v>
      </x:c>
      <x:c r="B8" s="20" t="n">
        <x:v>0.13</x:v>
      </x:c>
      <x:c r="C8" t="str">
        <x:v>%</x:v>
      </x:c>
      <x:c r="D8" t="str">
        <x:v>ASSUMPTION</x:v>
      </x:c>
      <x:c r="G8" s="22"/>
      <x:c r="H8" s="24"/>
    </x:row>
    <x:row r="9">
      <x:c r="A9" t="str">
        <x:v>Long-term growth</x:v>
      </x:c>
      <x:c r="B9" s="20" t="n">
        <x:v>0.05</x:v>
      </x:c>
      <x:c r="C9" t="str">
        <x:v>%</x:v>
      </x:c>
      <x:c r="D9" t="str">
        <x:v>ASSUMPTION</x:v>
      </x:c>
      <x:c r="F9" t="str">
        <x:v>Blended Fair Value</x:v>
      </x:c>
      <x:c r="G9" s="22" t="n">
        <x:f>SUMPRODUCT(G4:G7,G23:G26)/SUM(G23:G26)</x:f>
        <x:v>32098.920234321522</x:v>
      </x:c>
      <x:c r="H9" s="24" t="n">
        <x:f>G9/B4-1</x:f>
        <x:v>0.06996400781071732</x:v>
      </x:c>
    </x:row>
    <x:row r="10">
      <x:c r="A10" t="str">
        <x:v>Payout ratio</x:v>
      </x:c>
      <x:c r="B10" s="20" t="n">
        <x:v>0.2</x:v>
      </x:c>
      <x:c r="C10" t="str">
        <x:v>%</x:v>
      </x:c>
      <x:c r="D10" t="str">
        <x:v>ASSUMPTION</x:v>
      </x:c>
    </x:row>
    <x:row r="11">
      <x:c r="A11" t="str">
        <x:v>Forecast years</x:v>
      </x:c>
      <x:c r="B11" s="18" t="n">
        <x:v>5</x:v>
      </x:c>
      <x:c r="C11" t="str">
        <x:v>years</x:v>
      </x:c>
      <x:c r="D11" t="str">
        <x:v>ASSUMPTION</x:v>
      </x:c>
    </x:row>
    <x:row r="14">
      <x:c r="A14" s="10" t="str">
        <x:v>Year</x:v>
      </x:c>
      <x:c r="B14" s="10" t="str">
        <x:v>Beginning BVPS</x:v>
      </x:c>
      <x:c r="C14" s="10" t="str">
        <x:v>ROE</x:v>
      </x:c>
      <x:c r="D14" s="10" t="str">
        <x:v>Earnings/share</x:v>
      </x:c>
      <x:c r="E14" s="10" t="str">
        <x:v>Dividend/share</x:v>
      </x:c>
      <x:c r="F14" s="10" t="str">
        <x:v>Ending BVPS</x:v>
      </x:c>
      <x:c r="G14" s="10" t="str">
        <x:v>Residual Income</x:v>
      </x:c>
      <x:c r="H14" s="10" t="str">
        <x:v>PV RI</x:v>
      </x:c>
    </x:row>
    <x:row r="15">
      <x:c r="A15" t="n">
        <x:v>1</x:v>
      </x:c>
      <x:c r="B15" s="28" t="n">
        <x:f>$B$5</x:f>
        <x:v>20000</x:v>
      </x:c>
      <x:c r="C15" s="28" t="n">
        <x:f>$B$6+($B$7-$B$6)*A15/$B$11</x:f>
        <x:v>0.194</x:v>
      </x:c>
      <x:c r="D15" s="28" t="n">
        <x:f>B15*C15</x:f>
        <x:v>3880</x:v>
      </x:c>
      <x:c r="E15" s="28" t="n">
        <x:f>D15*$B$10</x:f>
        <x:v>776</x:v>
      </x:c>
      <x:c r="F15" s="28" t="n">
        <x:f>B15+D15-E15</x:f>
        <x:v>23104</x:v>
      </x:c>
      <x:c r="G15" s="28" t="n">
        <x:f>(C15-$B$8)*B15</x:f>
        <x:v>1280</x:v>
      </x:c>
      <x:c r="H15" s="28" t="n">
        <x:f>G15/(1+$B$8)^A15</x:f>
        <x:v>1132.7433628318586</x:v>
      </x:c>
    </x:row>
    <x:row r="16">
      <x:c r="A16" t="n">
        <x:v>2</x:v>
      </x:c>
      <x:c r="B16" s="28" t="n">
        <x:f>F15</x:f>
        <x:v>23104</x:v>
      </x:c>
      <x:c r="C16" s="28" t="n">
        <x:f>$B$6+($B$7-$B$6)*A16/$B$11</x:f>
        <x:v>0.188</x:v>
      </x:c>
      <x:c r="D16" s="28" t="n">
        <x:f>B16*C16</x:f>
        <x:v>4343.552</x:v>
      </x:c>
      <x:c r="E16" s="28" t="n">
        <x:f>D16*$B$10</x:f>
        <x:v>868.7103999999999</x:v>
      </x:c>
      <x:c r="F16" s="28" t="n">
        <x:f>B16+D16-E16</x:f>
        <x:v>26578.8416</x:v>
      </x:c>
      <x:c r="G16" s="28" t="n">
        <x:f>(C16-$B$8)*B16</x:f>
        <x:v>1340.032</x:v>
      </x:c>
      <x:c r="H16" s="28" t="n">
        <x:f>G16/(1+$B$8)^A16</x:f>
        <x:v>1049.4416164147547</x:v>
      </x:c>
    </x:row>
    <x:row r="17">
      <x:c r="A17" t="n">
        <x:v>3</x:v>
      </x:c>
      <x:c r="B17" s="28" t="n">
        <x:f>F16</x:f>
        <x:v>26578.8416</x:v>
      </x:c>
      <x:c r="C17" s="28" t="n">
        <x:f>$B$6+($B$7-$B$6)*A17/$B$11</x:f>
        <x:v>0.18200000000000002</x:v>
      </x:c>
      <x:c r="D17" s="28" t="n">
        <x:f>B17*C17</x:f>
        <x:v>4837.3491712000005</x:v>
      </x:c>
      <x:c r="E17" s="28" t="n">
        <x:f>D17*$B$10</x:f>
        <x:v>967.4698342400002</x:v>
      </x:c>
      <x:c r="F17" s="28" t="n">
        <x:f>B17+D17-E17</x:f>
        <x:v>30448.72093696</x:v>
      </x:c>
      <x:c r="G17" s="28" t="n">
        <x:f>(C17-$B$8)*B17</x:f>
        <x:v>1382.0997632000006</x:v>
      </x:c>
      <x:c r="H17" s="28" t="n">
        <x:f>G17/(1+$B$8)^A17</x:f>
        <x:v>957.8644651697252</x:v>
      </x:c>
    </x:row>
    <x:row r="18">
      <x:c r="A18" t="n">
        <x:v>4</x:v>
      </x:c>
      <x:c r="B18" s="28" t="n">
        <x:f>F17</x:f>
        <x:v>30448.72093696</x:v>
      </x:c>
      <x:c r="C18" s="28" t="n">
        <x:f>$B$6+($B$7-$B$6)*A18/$B$11</x:f>
        <x:v>0.17600000000000002</x:v>
      </x:c>
      <x:c r="D18" s="28" t="n">
        <x:f>B18*C18</x:f>
        <x:v>5358.97488490496</x:v>
      </x:c>
      <x:c r="E18" s="28" t="n">
        <x:f>D18*$B$10</x:f>
        <x:v>1071.794976980992</x:v>
      </x:c>
      <x:c r="F18" s="28" t="n">
        <x:f>B18+D18-E18</x:f>
        <x:v>34735.90084488397</x:v>
      </x:c>
      <x:c r="G18" s="28" t="n">
        <x:f>(C18-$B$8)*B18</x:f>
        <x:v>1400.6411631001604</x:v>
      </x:c>
      <x:c r="H18" s="28" t="n">
        <x:f>G18/(1+$B$8)^A18</x:f>
        <x:v>859.0394560879529</x:v>
      </x:c>
    </x:row>
    <x:row r="19">
      <x:c r="A19" t="n">
        <x:v>5</x:v>
      </x:c>
      <x:c r="B19" s="28" t="n">
        <x:f>F18</x:f>
        <x:v>34735.90084488397</x:v>
      </x:c>
      <x:c r="C19" s="28" t="n">
        <x:f>$B$6+($B$7-$B$6)*A19/$B$11</x:f>
        <x:v>0.17</x:v>
      </x:c>
      <x:c r="D19" s="28" t="n">
        <x:f>B19*C19</x:f>
        <x:v>5905.103143630275</x:v>
      </x:c>
      <x:c r="E19" s="28" t="n">
        <x:f>D19*$B$10</x:f>
        <x:v>1181.020628726055</x:v>
      </x:c>
      <x:c r="F19" s="28" t="n">
        <x:f>B19+D19-E19</x:f>
        <x:v>39459.98335978819</x:v>
      </x:c>
      <x:c r="G19" s="28" t="n">
        <x:f>(C19-$B$8)*B19</x:f>
        <x:v>1389.436033795359</x:v>
      </x:c>
      <x:c r="H19" s="28" t="n">
        <x:f>G19/(1+$B$8)^A19</x:f>
        <x:v>754.1302127780967</x:v>
      </x:c>
    </x:row>
    <x:row r="22">
      <x:c r="F22" s="46" t="str">
        <x:v>Blend Weight</x:v>
      </x:c>
      <x:c r="G22" s="46" t="str">
        <x:v>Value</x:v>
      </x:c>
    </x:row>
    <x:row r="23">
      <x:c r="F23" t="str">
        <x:v>Justified P/B</x:v>
      </x:c>
      <x:c r="G23" s="48" t="n">
        <x:v>0.25</x:v>
      </x:c>
    </x:row>
    <x:row r="24">
      <x:c r="F24" t="str">
        <x:v>Residual Income</x:v>
      </x:c>
      <x:c r="G24" s="48" t="n">
        <x:v>0.4</x:v>
      </x:c>
    </x:row>
    <x:row r="25">
      <x:c r="F25" t="str">
        <x:v>Peer P/B</x:v>
      </x:c>
      <x:c r="G25" s="48" t="n">
        <x:v>0.2</x:v>
      </x:c>
    </x:row>
    <x:row r="26">
      <x:c r="F26" t="str">
        <x:v>Historical P/B</x:v>
      </x:c>
      <x:c r="G26" s="48" t="n">
        <x:v>0.15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cd2cf79e99574d91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18" hidden="0" customWidth="1"/>
    <x:col min="5" max="5" width="42" hidden="0" customWidth="1"/>
    <x:col min="6" max="6" width="24" hidden="0" customWidth="1"/>
    <x:col min="7" max="7" width="48" hidden="0" customWidth="1"/>
  </x:cols>
  <x:sheetData>
    <x:row r="1" ht="28" customHeight="1">
      <x:c r="A1" s="14" t="str">
        <x:v>M&amp;A / CONTROL VALUE ASSUMPTIONS</x:v>
      </x:c>
      <x:c r="B1" s="14"/>
      <x:c r="C1" s="14"/>
      <x:c r="D1" s="14"/>
      <x:c r="E1" s="14"/>
      <x:c r="F1" s="14"/>
      <x:c r="G1" s="14"/>
    </x:row>
    <x:row r="3">
      <x:c r="A3" s="10" t="str">
        <x:v>Parameter</x:v>
      </x:c>
      <x:c r="B3" s="10" t="str">
        <x:v>Value</x:v>
      </x:c>
      <x:c r="C3" s="10" t="str">
        <x:v>Unit</x:v>
      </x:c>
      <x:c r="D3" s="10" t="str">
        <x:v>Type</x:v>
      </x:c>
      <x:c r="E3" s="10" t="str">
        <x:v>Meaning</x:v>
      </x:c>
      <x:c r="F3" s="10" t="str">
        <x:v>Use</x:v>
      </x:c>
      <x:c r="G3" s="10" t="str">
        <x:v>Reference</x:v>
      </x:c>
    </x:row>
    <x:row r="4">
      <x:c r="A4" t="str">
        <x:v>Control premium</x:v>
      </x:c>
      <x:c r="B4" s="20" t="n">
        <x:v>0.2</x:v>
      </x:c>
      <x:c r="C4" t="str">
        <x:v>%</x:v>
      </x:c>
      <x:c r="D4" t="str">
        <x:v>ASSUMPTION</x:v>
      </x:c>
      <x:c r="E4" t="str">
        <x:v>Premium for control</x:v>
      </x:c>
      <x:c r="F4" t="str">
        <x:v>Offer value</x:v>
      </x:c>
      <x:c r="G4" t="str">
        <x:v>IFRS 3 recognises possible control premium differences</x:v>
      </x:c>
    </x:row>
    <x:row r="5">
      <x:c r="A5" t="str">
        <x:v>Cost synergy / target opex</x:v>
      </x:c>
      <x:c r="B5" s="20" t="n">
        <x:v>0.08</x:v>
      </x:c>
      <x:c r="C5" t="str">
        <x:v>%</x:v>
      </x:c>
      <x:c r="D5" t="str">
        <x:v>ASSUMPTION</x:v>
      </x:c>
      <x:c r="E5" t="str">
        <x:v>Annual gross cost synergy</x:v>
      </x:c>
      <x:c r="F5" t="str">
        <x:v>Synergy PV</x:v>
      </x:c>
      <x:c r="G5" t="str">
        <x:v>Deal assumption</x:v>
      </x:c>
    </x:row>
    <x:row r="6">
      <x:c r="A6" t="str">
        <x:v>Revenue synergy / target income</x:v>
      </x:c>
      <x:c r="B6" s="20" t="n">
        <x:v>0.03</x:v>
      </x:c>
      <x:c r="C6" t="str">
        <x:v>%</x:v>
      </x:c>
      <x:c r="D6" t="str">
        <x:v>ASSUMPTION</x:v>
      </x:c>
      <x:c r="E6" t="str">
        <x:v>Annual revenue synergy</x:v>
      </x:c>
      <x:c r="F6" t="str">
        <x:v>Synergy PV</x:v>
      </x:c>
      <x:c r="G6" t="str">
        <x:v>Deal assumption</x:v>
      </x:c>
    </x:row>
    <x:row r="7">
      <x:c r="A7" t="str">
        <x:v>Synergy ramp</x:v>
      </x:c>
      <x:c r="B7" s="20" t="n">
        <x:v>0.7</x:v>
      </x:c>
      <x:c r="C7" t="str">
        <x:v>%</x:v>
      </x:c>
      <x:c r="D7" t="str">
        <x:v>ASSUMPTION</x:v>
      </x:c>
      <x:c r="E7" t="str">
        <x:v>Realisation factor</x:v>
      </x:c>
      <x:c r="F7" t="str">
        <x:v>Synergy PV</x:v>
      </x:c>
      <x:c r="G7" t="str">
        <x:v>Deal assumption</x:v>
      </x:c>
    </x:row>
    <x:row r="8">
      <x:c r="A8" t="str">
        <x:v>Integration cost / target equity</x:v>
      </x:c>
      <x:c r="B8" s="20" t="n">
        <x:v>0.05</x:v>
      </x:c>
      <x:c r="C8" t="str">
        <x:v>%</x:v>
      </x:c>
      <x:c r="D8" t="str">
        <x:v>ASSUMPTION</x:v>
      </x:c>
      <x:c r="E8" t="str">
        <x:v>One-off integration cost</x:v>
      </x:c>
      <x:c r="F8" t="str">
        <x:v>Consideration bridge</x:v>
      </x:c>
      <x:c r="G8" t="str">
        <x:v>Deal assumption</x:v>
      </x:c>
    </x:row>
    <x:row r="9">
      <x:c r="A9" t="str">
        <x:v>Credit mark / gross loans</x:v>
      </x:c>
      <x:c r="B9" s="20" t="n">
        <x:v>0.02</x:v>
      </x:c>
      <x:c r="C9" t="str">
        <x:v>%</x:v>
      </x:c>
      <x:c r="D9" t="str">
        <x:v>ASSUMPTION</x:v>
      </x:c>
      <x:c r="E9" t="str">
        <x:v>Loan-book fair-value / credit adjustment</x:v>
      </x:c>
      <x:c r="F9" t="str">
        <x:v>PPA</x:v>
      </x:c>
      <x:c r="G9" t="str">
        <x:v>Due diligence assumption</x:v>
      </x:c>
    </x:row>
    <x:row r="10">
      <x:c r="A10" t="str">
        <x:v>Identifiable intangible / deposits</x:v>
      </x:c>
      <x:c r="B10" s="20" t="n">
        <x:v>0.01</x:v>
      </x:c>
      <x:c r="C10" t="str">
        <x:v>%</x:v>
      </x:c>
      <x:c r="D10" t="str">
        <x:v>ASSUMPTION</x:v>
      </x:c>
      <x:c r="E10" t="str">
        <x:v>Customer/deposit franchise proxy</x:v>
      </x:c>
      <x:c r="F10" t="str">
        <x:v>PPA</x:v>
      </x:c>
      <x:c r="G10" t="str">
        <x:v>Valuation assumption</x:v>
      </x:c>
    </x:row>
    <x:row r="11">
      <x:c r="A11" t="str">
        <x:v>M&amp;A hurdle rate</x:v>
      </x:c>
      <x:c r="B11" s="20" t="n">
        <x:v>0.14</x:v>
      </x:c>
      <x:c r="C11" t="str">
        <x:v>%</x:v>
      </x:c>
      <x:c r="D11" t="str">
        <x:v>ASSUMPTION</x:v>
      </x:c>
      <x:c r="E11" t="str">
        <x:v>Buyer required return</x:v>
      </x:c>
      <x:c r="F11" t="str">
        <x:v>Synergy / max price</x:v>
      </x:c>
      <x:c r="G11" t="str">
        <x:v>Deal assumption</x:v>
      </x:c>
    </x:row>
    <x:row r="12">
      <x:c r="A12" t="str">
        <x:v>Synergy LT growth</x:v>
      </x:c>
      <x:c r="B12" s="20" t="n">
        <x:v>0.03</x:v>
      </x:c>
      <x:c r="C12" t="str">
        <x:v>%</x:v>
      </x:c>
      <x:c r="D12" t="str">
        <x:v>ASSUMPTION</x:v>
      </x:c>
      <x:c r="E12" t="str">
        <x:v>Terminal synergy growth</x:v>
      </x:c>
      <x:c r="F12" t="str">
        <x:v>Synergy PV</x:v>
      </x:c>
      <x:c r="G12" t="str">
        <x:v>Deal assumption</x:v>
      </x:c>
    </x:row>
    <x:row r="13">
      <x:c r="A13" t="str">
        <x:v>Tax rate</x:v>
      </x:c>
      <x:c r="B13" s="50" t="n">
        <x:v>0.2</x:v>
      </x:c>
      <x:c r="C13" t="str">
        <x:v>%</x:v>
      </x:c>
      <x:c r="D13" t="str">
        <x:v>ASSUMPTION</x:v>
      </x:c>
      <x:c r="E13" t="str">
        <x:v>After-tax synergy conversion</x:v>
      </x:c>
      <x:c r="F13" t="str">
        <x:v>Synergy PV</x:v>
      </x:c>
      <x:c r="G13" t="str">
        <x:v>User editable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20" hidden="0" customWidth="1"/>
    <x:col min="6" max="6" width="30" hidden="0" customWidth="1"/>
    <x:col min="7" max="7" width="20" hidden="0" customWidth="1"/>
    <x:col min="8" max="8" width="42" hidden="0" customWidth="1"/>
  </x:cols>
  <x:sheetData>
    <x:row r="1" ht="28" customHeight="1">
      <x:c r="A1" s="14" t="str">
        <x:v>BANK M&amp;A DEAL SIMULATOR</x:v>
      </x:c>
      <x:c r="B1" s="14"/>
      <x:c r="C1" s="14"/>
      <x:c r="D1" s="14"/>
      <x:c r="E1" s="14"/>
      <x:c r="F1" s="14"/>
      <x:c r="G1" s="14"/>
      <x:c r="H1" s="14"/>
    </x:row>
    <x:row r="3">
      <x:c r="A3" s="10" t="str">
        <x:v>Target inputs</x:v>
      </x:c>
      <x:c r="B3" s="10" t="str">
        <x:v>Value</x:v>
      </x:c>
      <x:c r="C3" s="10" t="str">
        <x:v>Unit</x:v>
      </x:c>
      <x:c r="D3" s="10" t="str">
        <x:v>Lineage</x:v>
      </x:c>
      <x:c r="F3" s="10" t="str">
        <x:v>Deal output</x:v>
      </x:c>
      <x:c r="G3" s="10" t="str">
        <x:v>Value</x:v>
      </x:c>
      <x:c r="H3" s="10" t="str">
        <x:v>Interpretation</x:v>
      </x:c>
    </x:row>
    <x:row r="4">
      <x:c r="A4" t="str">
        <x:v>Standalone Equity Value</x:v>
      </x:c>
      <x:c r="B4" s="18" t="n">
        <x:v>50000</x:v>
      </x:c>
      <x:c r="C4" t="str">
        <x:v>VND bn</x:v>
      </x:c>
      <x:c r="D4" t="str">
        <x:v>CALCULATED</x:v>
      </x:c>
      <x:c r="F4" t="str">
        <x:v>PV Synergies</x:v>
      </x:c>
      <x:c r="G4" s="22" t="n">
        <x:f>((B9*B13+B10*B14)*(1-B21)*B22)*(1+B20)/(B19-B20)</x:f>
        <x:v>8127.636363636363</x:v>
      </x:c>
      <x:c r="H4" t="str">
        <x:v>After-tax perpetuity proxy</x:v>
      </x:c>
    </x:row>
    <x:row r="5">
      <x:c r="A5" t="str">
        <x:v>Reported Equity</x:v>
      </x:c>
      <x:c r="B5" s="18" t="n">
        <x:v>40000</x:v>
      </x:c>
      <x:c r="C5" t="str">
        <x:v>VND bn</x:v>
      </x:c>
      <x:c r="D5" t="str">
        <x:v>ACTUAL</x:v>
      </x:c>
      <x:c r="F5" t="str">
        <x:v>Integration Cost</x:v>
      </x:c>
      <x:c r="G5" s="22" t="n">
        <x:f>B5*B15</x:f>
        <x:v>2000</x:v>
      </x:c>
      <x:c r="H5" t="str">
        <x:v>One-off</x:v>
      </x:c>
    </x:row>
    <x:row r="6">
      <x:c r="A6" t="str">
        <x:v>Tangible Equity</x:v>
      </x:c>
      <x:c r="B6" s="18" t="n">
        <x:v>39000</x:v>
      </x:c>
      <x:c r="C6" t="str">
        <x:v>VND bn</x:v>
      </x:c>
      <x:c r="D6" t="str">
        <x:v>CALCULATED</x:v>
      </x:c>
      <x:c r="F6" t="str">
        <x:v>Credit Mark</x:v>
      </x:c>
      <x:c r="G6" s="22" t="n">
        <x:f>B7*B16</x:f>
        <x:v>6000</x:v>
      </x:c>
      <x:c r="H6" t="str">
        <x:v>Reduces identifiable net assets</x:v>
      </x:c>
    </x:row>
    <x:row r="7">
      <x:c r="A7" t="str">
        <x:v>Gross Loans</x:v>
      </x:c>
      <x:c r="B7" s="18" t="n">
        <x:v>300000</x:v>
      </x:c>
      <x:c r="C7" t="str">
        <x:v>VND bn</x:v>
      </x:c>
      <x:c r="D7" t="str">
        <x:v>ACTUAL</x:v>
      </x:c>
      <x:c r="F7" t="str">
        <x:v>Identifiable Intangibles</x:v>
      </x:c>
      <x:c r="G7" s="22" t="n">
        <x:f>B8*B17</x:f>
        <x:v>3200</x:v>
      </x:c>
      <x:c r="H7" t="str">
        <x:v>Customer/deposit franchise proxy</x:v>
      </x:c>
    </x:row>
    <x:row r="8">
      <x:c r="A8" t="str">
        <x:v>Customer Deposits</x:v>
      </x:c>
      <x:c r="B8" s="18" t="n">
        <x:v>320000</x:v>
      </x:c>
      <x:c r="C8" t="str">
        <x:v>VND bn</x:v>
      </x:c>
      <x:c r="D8" t="str">
        <x:v>ACTUAL</x:v>
      </x:c>
      <x:c r="F8" t="str">
        <x:v>Adjusted Net Assets</x:v>
      </x:c>
      <x:c r="G8" s="22" t="n">
        <x:f>B6-G6+G7</x:f>
        <x:v>36200</x:v>
      </x:c>
      <x:c r="H8" t="str">
        <x:v>PPA identifiable net assets</x:v>
      </x:c>
    </x:row>
    <x:row r="9">
      <x:c r="A9" t="str">
        <x:v>Annual Opex</x:v>
      </x:c>
      <x:c r="B9" s="18" t="n">
        <x:v>10000</x:v>
      </x:c>
      <x:c r="C9" t="str">
        <x:v>VND bn</x:v>
      </x:c>
      <x:c r="D9" t="str">
        <x:v>CALCULATED</x:v>
      </x:c>
      <x:c r="F9" t="str">
        <x:v>Illustrative Consideration</x:v>
      </x:c>
      <x:c r="G9" s="22" t="n">
        <x:f>(B4*(1+B12)+G4-G5-B18)*B11</x:f>
        <x:v>66127.63636363637</x:v>
      </x:c>
      <x:c r="H9" t="str">
        <x:v>Standalone + control + synergy - integration - recap</x:v>
      </x:c>
    </x:row>
    <x:row r="10">
      <x:c r="A10" t="str">
        <x:v>Operating Income</x:v>
      </x:c>
      <x:c r="B10" s="18" t="n">
        <x:v>25000</x:v>
      </x:c>
      <x:c r="C10" t="str">
        <x:v>VND bn</x:v>
      </x:c>
      <x:c r="D10" t="str">
        <x:v>ACTUAL</x:v>
      </x:c>
      <x:c r="F10" t="str">
        <x:v>Implied P/B</x:v>
      </x:c>
      <x:c r="G10" s="30" t="n">
        <x:f>G9/(B5*B11)</x:f>
        <x:v>1.6531909090909092</x:v>
      </x:c>
      <x:c r="H10" t="str">
        <x:v>Consideration / reported equity</x:v>
      </x:c>
    </x:row>
    <x:row r="11">
      <x:c r="A11" t="str">
        <x:v>Stake Acquired</x:v>
      </x:c>
      <x:c r="B11" s="20" t="n">
        <x:v>1</x:v>
      </x:c>
      <x:c r="C11" t="str">
        <x:v>%</x:v>
      </x:c>
      <x:c r="D11" t="str">
        <x:v>ASSUMPTION</x:v>
      </x:c>
      <x:c r="F11" t="str">
        <x:v>Implied P/TBV</x:v>
      </x:c>
      <x:c r="G11" s="30" t="n">
        <x:f>G9/(B6*B11)</x:f>
        <x:v>1.6955804195804196</x:v>
      </x:c>
      <x:c r="H11" t="str">
        <x:v>Consideration / tangible equity</x:v>
      </x:c>
    </x:row>
    <x:row r="12">
      <x:c r="A12" t="str">
        <x:v>Control Premium</x:v>
      </x:c>
      <x:c r="B12" s="20" t="n">
        <x:v>0.2</x:v>
      </x:c>
      <x:c r="C12" t="str">
        <x:v>%</x:v>
      </x:c>
      <x:c r="D12" t="str">
        <x:v>ASSUMPTION</x:v>
      </x:c>
      <x:c r="F12" t="str">
        <x:v>Goodwill / (Bargain)</x:v>
      </x:c>
      <x:c r="G12" s="22" t="n">
        <x:f>G9-G8*B11</x:f>
        <x:v>29927.636363636368</x:v>
      </x:c>
      <x:c r="H12" t="str">
        <x:v>Consideration - adjusted net assets</x:v>
      </x:c>
    </x:row>
    <x:row r="13">
      <x:c r="A13" t="str">
        <x:v>Cost Synergy / Opex</x:v>
      </x:c>
      <x:c r="B13" s="20" t="n">
        <x:v>0.08</x:v>
      </x:c>
      <x:c r="C13" t="str">
        <x:v>%</x:v>
      </x:c>
      <x:c r="D13" t="str">
        <x:v>ASSUMPTION</x:v>
      </x:c>
    </x:row>
    <x:row r="14">
      <x:c r="A14" t="str">
        <x:v>Revenue Synergy / Income</x:v>
      </x:c>
      <x:c r="B14" s="20" t="n">
        <x:v>0.03</x:v>
      </x:c>
      <x:c r="C14" t="str">
        <x:v>%</x:v>
      </x:c>
      <x:c r="D14" t="str">
        <x:v>ASSUMPTION</x:v>
      </x:c>
    </x:row>
    <x:row r="15">
      <x:c r="A15" t="str">
        <x:v>Integration Cost / Equity</x:v>
      </x:c>
      <x:c r="B15" s="20" t="n">
        <x:v>0.05</x:v>
      </x:c>
      <x:c r="C15" t="str">
        <x:v>%</x:v>
      </x:c>
      <x:c r="D15" t="str">
        <x:v>ASSUMPTION</x:v>
      </x:c>
    </x:row>
    <x:row r="16">
      <x:c r="A16" t="str">
        <x:v>Credit Mark / Loans</x:v>
      </x:c>
      <x:c r="B16" s="20" t="n">
        <x:v>0.02</x:v>
      </x:c>
      <x:c r="C16" t="str">
        <x:v>%</x:v>
      </x:c>
      <x:c r="D16" t="str">
        <x:v>ASSUMPTION</x:v>
      </x:c>
    </x:row>
    <x:row r="17">
      <x:c r="A17" t="str">
        <x:v>Identifiable Intangible / Deposits</x:v>
      </x:c>
      <x:c r="B17" s="18" t="n">
        <x:v>0.01</x:v>
      </x:c>
      <x:c r="C17" t="str">
        <x:v>%</x:v>
      </x:c>
      <x:c r="D17" t="str">
        <x:v>ASSUMPTION</x:v>
      </x:c>
    </x:row>
    <x:row r="18">
      <x:c r="A18" t="str">
        <x:v>Recapitalization</x:v>
      </x:c>
      <x:c r="B18" s="18" t="n">
        <x:v>0</x:v>
      </x:c>
      <x:c r="C18" t="str">
        <x:v>VND bn</x:v>
      </x:c>
      <x:c r="D18" t="str">
        <x:v>ASSUMPTION</x:v>
      </x:c>
    </x:row>
    <x:row r="19">
      <x:c r="A19" t="str">
        <x:v>COE / Hurdle</x:v>
      </x:c>
      <x:c r="B19" s="20" t="n">
        <x:v>0.14</x:v>
      </x:c>
      <x:c r="C19" t="str">
        <x:v>%</x:v>
      </x:c>
      <x:c r="D19" t="str">
        <x:v>ASSUMPTION</x:v>
      </x:c>
    </x:row>
    <x:row r="20">
      <x:c r="A20" t="str">
        <x:v>Synergy Growth</x:v>
      </x:c>
      <x:c r="B20" s="20" t="n">
        <x:v>0.03</x:v>
      </x:c>
      <x:c r="C20" t="str">
        <x:v>%</x:v>
      </x:c>
      <x:c r="D20" t="str">
        <x:v>ASSUMPTION</x:v>
      </x:c>
    </x:row>
    <x:row r="21">
      <x:c r="A21" t="str">
        <x:v>Tax Rate</x:v>
      </x:c>
      <x:c r="B21" s="48" t="n">
        <x:v>0.2</x:v>
      </x:c>
      <x:c r="C21" t="str">
        <x:v>%</x:v>
      </x:c>
      <x:c r="D21" t="str">
        <x:v>ASSUMPTION</x:v>
      </x:c>
    </x:row>
    <x:row r="22">
      <x:c r="A22" t="str">
        <x:v>Synergy Ramp</x:v>
      </x:c>
      <x:c r="B22" s="48" t="n">
        <x:v>0.7</x:v>
      </x:c>
      <x:c r="C22" t="str">
        <x:v>%</x:v>
      </x:c>
      <x:c r="D22" t="str">
        <x:v>ASSUMPTION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2" hidden="0" customWidth="1"/>
    <x:col min="6" max="6" width="20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42" hidden="0" customWidth="1"/>
    <x:col min="13" max="13" width="60" hidden="0" customWidth="1"/>
    <x:col min="14" max="14" width="16" hidden="0" customWidth="1"/>
  </x:cols>
  <x:sheetData>
    <x:row r="1" ht="28" customHeight="1">
      <x:c r="A1" s="4" t="str">
        <x:v>BANK M&amp;A PRECEDENT TRANSACTIONS — USER VERIFIED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0" t="str">
        <x:v>Announcement Date</x:v>
      </x:c>
      <x:c r="B3" s="10" t="str">
        <x:v>Acquirer</x:v>
      </x:c>
      <x:c r="C3" s="10" t="str">
        <x:v>Target</x:v>
      </x:c>
      <x:c r="D3" s="10" t="str">
        <x:v>Country</x:v>
      </x:c>
      <x:c r="E3" s="10" t="str">
        <x:v>Stake %</x:v>
      </x:c>
      <x:c r="F3" s="10" t="str">
        <x:v>Deal Value (VND bn)</x:v>
      </x:c>
      <x:c r="G3" s="10" t="str">
        <x:v>Implied P/B</x:v>
      </x:c>
      <x:c r="H3" s="10" t="str">
        <x:v>Implied P/TBV</x:v>
      </x:c>
      <x:c r="I3" s="10" t="str">
        <x:v>Control Premium %</x:v>
      </x:c>
      <x:c r="J3" s="10" t="str">
        <x:v>Target ROE</x:v>
      </x:c>
      <x:c r="K3" s="10" t="str">
        <x:v>Target NPL</x:v>
      </x:c>
      <x:c r="L3" s="10" t="str">
        <x:v>Strategic Rationale</x:v>
      </x:c>
      <x:c r="M3" s="10" t="str">
        <x:v>Source URL</x:v>
      </x:c>
      <x:c r="N3" s="10" t="str">
        <x:v>Data Type</x:v>
      </x:c>
    </x:row>
    <x:row r="4">
      <x:c r="A4" s="18"/>
      <x:c r="B4" s="18"/>
      <x:c r="C4" s="18"/>
      <x:c r="D4" s="18"/>
      <x:c r="E4" s="20"/>
      <x:c r="F4" s="18"/>
      <x:c r="G4" s="32"/>
      <x:c r="H4" s="32"/>
      <x:c r="I4" s="20"/>
      <x:c r="J4" s="20"/>
      <x:c r="K4" s="20"/>
      <x:c r="L4" s="18"/>
      <x:c r="M4" s="18"/>
      <x:c r="N4" t="str">
        <x:v>USER_INPUT</x:v>
      </x:c>
    </x:row>
    <x:row r="5">
      <x:c r="A5" s="18"/>
      <x:c r="B5" s="18"/>
      <x:c r="C5" s="18"/>
      <x:c r="D5" s="18"/>
      <x:c r="E5" s="20"/>
      <x:c r="F5" s="18"/>
      <x:c r="G5" s="32"/>
      <x:c r="H5" s="32"/>
      <x:c r="I5" s="20"/>
      <x:c r="J5" s="20"/>
      <x:c r="K5" s="20"/>
      <x:c r="L5" s="18"/>
      <x:c r="M5" s="18"/>
      <x:c r="N5" t="str">
        <x:v>USER_INPUT</x:v>
      </x:c>
    </x:row>
    <x:row r="6">
      <x:c r="A6" s="18"/>
      <x:c r="B6" s="18"/>
      <x:c r="C6" s="18"/>
      <x:c r="D6" s="18"/>
      <x:c r="E6" s="20"/>
      <x:c r="F6" s="18"/>
      <x:c r="G6" s="32"/>
      <x:c r="H6" s="32"/>
      <x:c r="I6" s="20"/>
      <x:c r="J6" s="20"/>
      <x:c r="K6" s="20"/>
      <x:c r="L6" s="18"/>
      <x:c r="M6" s="18"/>
      <x:c r="N6" t="str">
        <x:v>USER_INPUT</x:v>
      </x:c>
    </x:row>
    <x:row r="7">
      <x:c r="A7" s="18"/>
      <x:c r="B7" s="18"/>
      <x:c r="C7" s="18"/>
      <x:c r="D7" s="18"/>
      <x:c r="E7" s="20"/>
      <x:c r="F7" s="18"/>
      <x:c r="G7" s="32"/>
      <x:c r="H7" s="32"/>
      <x:c r="I7" s="20"/>
      <x:c r="J7" s="20"/>
      <x:c r="K7" s="20"/>
      <x:c r="L7" s="18"/>
      <x:c r="M7" s="18"/>
      <x:c r="N7" t="str">
        <x:v>USER_INPUT</x:v>
      </x:c>
    </x:row>
    <x:row r="8">
      <x:c r="A8" s="18"/>
      <x:c r="B8" s="18"/>
      <x:c r="C8" s="18"/>
      <x:c r="D8" s="18"/>
      <x:c r="E8" s="20"/>
      <x:c r="F8" s="18"/>
      <x:c r="G8" s="32"/>
      <x:c r="H8" s="32"/>
      <x:c r="I8" s="20"/>
      <x:c r="J8" s="20"/>
      <x:c r="K8" s="20"/>
      <x:c r="L8" s="18"/>
      <x:c r="M8" s="18"/>
      <x:c r="N8" t="str">
        <x:v>USER_INPUT</x:v>
      </x:c>
    </x:row>
    <x:row r="9">
      <x:c r="A9" s="18"/>
      <x:c r="B9" s="18"/>
      <x:c r="C9" s="18"/>
      <x:c r="D9" s="18"/>
      <x:c r="E9" s="20"/>
      <x:c r="F9" s="18"/>
      <x:c r="G9" s="32"/>
      <x:c r="H9" s="32"/>
      <x:c r="I9" s="20"/>
      <x:c r="J9" s="20"/>
      <x:c r="K9" s="20"/>
      <x:c r="L9" s="18"/>
      <x:c r="M9" s="18"/>
      <x:c r="N9" t="str">
        <x:v>USER_INPUT</x:v>
      </x:c>
    </x:row>
    <x:row r="10">
      <x:c r="A10" s="18"/>
      <x:c r="B10" s="18"/>
      <x:c r="C10" s="18"/>
      <x:c r="D10" s="18"/>
      <x:c r="E10" s="20"/>
      <x:c r="F10" s="18"/>
      <x:c r="G10" s="32"/>
      <x:c r="H10" s="32"/>
      <x:c r="I10" s="20"/>
      <x:c r="J10" s="20"/>
      <x:c r="K10" s="20"/>
      <x:c r="L10" s="18"/>
      <x:c r="M10" s="18"/>
      <x:c r="N10" t="str">
        <x:v>USER_INPUT</x:v>
      </x:c>
    </x:row>
    <x:row r="11">
      <x:c r="A11" s="18"/>
      <x:c r="B11" s="18"/>
      <x:c r="C11" s="18"/>
      <x:c r="D11" s="18"/>
      <x:c r="E11" s="20"/>
      <x:c r="F11" s="18"/>
      <x:c r="G11" s="32"/>
      <x:c r="H11" s="32"/>
      <x:c r="I11" s="20"/>
      <x:c r="J11" s="20"/>
      <x:c r="K11" s="20"/>
      <x:c r="L11" s="18"/>
      <x:c r="M11" s="18"/>
      <x:c r="N11" t="str">
        <x:v>USER_INPUT</x:v>
      </x:c>
    </x:row>
    <x:row r="12">
      <x:c r="A12" s="18"/>
      <x:c r="B12" s="18"/>
      <x:c r="C12" s="18"/>
      <x:c r="D12" s="18"/>
      <x:c r="E12" s="20"/>
      <x:c r="F12" s="18"/>
      <x:c r="G12" s="32"/>
      <x:c r="H12" s="32"/>
      <x:c r="I12" s="20"/>
      <x:c r="J12" s="20"/>
      <x:c r="K12" s="20"/>
      <x:c r="L12" s="18"/>
      <x:c r="M12" s="18"/>
      <x:c r="N12" t="str">
        <x:v>USER_INPUT</x:v>
      </x:c>
    </x:row>
    <x:row r="13">
      <x:c r="A13" s="18"/>
      <x:c r="B13" s="18"/>
      <x:c r="C13" s="18"/>
      <x:c r="D13" s="18"/>
      <x:c r="E13" s="20"/>
      <x:c r="F13" s="18"/>
      <x:c r="G13" s="32"/>
      <x:c r="H13" s="32"/>
      <x:c r="I13" s="20"/>
      <x:c r="J13" s="20"/>
      <x:c r="K13" s="20"/>
      <x:c r="L13" s="18"/>
      <x:c r="M13" s="18"/>
      <x:c r="N13" t="str">
        <x:v>USER_INPUT</x:v>
      </x:c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6" hidden="0" customWidth="1"/>
    <x:col min="5" max="5" width="18" hidden="0" customWidth="1"/>
    <x:col min="6" max="6" width="42" hidden="0" customWidth="1"/>
    <x:col min="7" max="7" width="30" hidden="0" customWidth="1"/>
  </x:cols>
  <x:sheetData>
    <x:row r="1" ht="28" customHeight="1">
      <x:c r="A1" s="14" t="str">
        <x:v>BANK RESTRUCTURING VALUATION</x:v>
      </x:c>
      <x:c r="B1" s="14"/>
      <x:c r="C1" s="14"/>
      <x:c r="D1" s="14"/>
      <x:c r="E1" s="14"/>
      <x:c r="F1" s="14"/>
      <x:c r="G1" s="14"/>
    </x:row>
    <x:row r="3">
      <x:c r="A3" s="10" t="str">
        <x:v>Step</x:v>
      </x:c>
      <x:c r="B3" s="10" t="str">
        <x:v>Input / Formula</x:v>
      </x:c>
      <x:c r="C3" s="10" t="str">
        <x:v>Value</x:v>
      </x:c>
      <x:c r="D3" s="10" t="str">
        <x:v>Unit</x:v>
      </x:c>
      <x:c r="E3" s="10" t="str">
        <x:v>Lineage</x:v>
      </x:c>
      <x:c r="F3" s="10" t="str">
        <x:v>Why</x:v>
      </x:c>
      <x:c r="G3" s="10" t="str">
        <x:v>Output use</x:v>
      </x:c>
    </x:row>
    <x:row r="4">
      <x:c r="A4" t="str">
        <x:v>1</x:v>
      </x:c>
      <x:c r="B4" t="str">
        <x:v>Reported Equity</x:v>
      </x:c>
      <x:c r="C4" s="18" t="n">
        <x:v>40000</x:v>
      </x:c>
      <x:c r="D4" t="str">
        <x:v>VND bn</x:v>
      </x:c>
      <x:c r="E4" t="str">
        <x:v>ACTUAL</x:v>
      </x:c>
      <x:c r="F4" t="str">
        <x:v>Starting book value</x:v>
      </x:c>
      <x:c r="G4" t="str">
        <x:v>Adjusted equity</x:v>
      </x:c>
    </x:row>
    <x:row r="5">
      <x:c r="A5" t="str">
        <x:v>2</x:v>
      </x:c>
      <x:c r="B5" t="str">
        <x:v>Gross Loans</x:v>
      </x:c>
      <x:c r="C5" s="18" t="n">
        <x:v>300000</x:v>
      </x:c>
      <x:c r="D5" t="str">
        <x:v>VND bn</x:v>
      </x:c>
      <x:c r="E5" t="str">
        <x:v>ACTUAL</x:v>
      </x:c>
      <x:c r="F5" t="str">
        <x:v>Credit exposure</x:v>
      </x:c>
      <x:c r="G5" t="str">
        <x:v>Credit mark</x:v>
      </x:c>
    </x:row>
    <x:row r="6">
      <x:c r="A6" t="str">
        <x:v>3</x:v>
      </x:c>
      <x:c r="B6" t="str">
        <x:v>NPL ratio</x:v>
      </x:c>
      <x:c r="C6" s="20" t="n">
        <x:v>0.04</x:v>
      </x:c>
      <x:c r="D6" t="str">
        <x:v>%</x:v>
      </x:c>
      <x:c r="E6" t="str">
        <x:v>ACTUAL</x:v>
      </x:c>
      <x:c r="F6" t="str">
        <x:v>Asset quality</x:v>
      </x:c>
      <x:c r="G6" t="str">
        <x:v>NPL haircut</x:v>
      </x:c>
    </x:row>
    <x:row r="7">
      <x:c r="A7" t="str">
        <x:v>4</x:v>
      </x:c>
      <x:c r="B7" t="str">
        <x:v>Extra provision / loans</x:v>
      </x:c>
      <x:c r="C7" s="20" t="n">
        <x:v>0.01</x:v>
      </x:c>
      <x:c r="D7" t="str">
        <x:v>%</x:v>
      </x:c>
      <x:c r="E7" t="str">
        <x:v>ASSUMPTION</x:v>
      </x:c>
      <x:c r="F7" t="str">
        <x:v>Hidden loss buffer</x:v>
      </x:c>
      <x:c r="G7" t="str">
        <x:v>Adjusted equity</x:v>
      </x:c>
    </x:row>
    <x:row r="8">
      <x:c r="A8" t="str">
        <x:v>5</x:v>
      </x:c>
      <x:c r="B8" t="str">
        <x:v>Haircut on NPL</x:v>
      </x:c>
      <x:c r="C8" s="20" t="n">
        <x:v>0.35</x:v>
      </x:c>
      <x:c r="D8" t="str">
        <x:v>%</x:v>
      </x:c>
      <x:c r="E8" t="str">
        <x:v>ASSUMPTION</x:v>
      </x:c>
      <x:c r="F8" t="str">
        <x:v>Recovery uncertainty</x:v>
      </x:c>
      <x:c r="G8" t="str">
        <x:v>Adjusted equity</x:v>
      </x:c>
    </x:row>
    <x:row r="9">
      <x:c r="A9" t="str">
        <x:v>6</x:v>
      </x:c>
      <x:c r="B9" t="str">
        <x:v>Required recapitalization</x:v>
      </x:c>
      <x:c r="C9" s="18" t="n">
        <x:v>0</x:v>
      </x:c>
      <x:c r="D9" t="str">
        <x:v>VND bn</x:v>
      </x:c>
      <x:c r="E9" t="str">
        <x:v>ASSUMPTION</x:v>
      </x:c>
      <x:c r="F9" t="str">
        <x:v>Capital repair</x:v>
      </x:c>
      <x:c r="G9" t="str">
        <x:v>Adjusted equity</x:v>
      </x:c>
    </x:row>
    <x:row r="10">
      <x:c r="A10" t="str">
        <x:v>7</x:v>
      </x:c>
      <x:c r="B10" t="str">
        <x:v>Shares outstanding</x:v>
      </x:c>
      <x:c r="C10" s="18" t="n">
        <x:v>2</x:v>
      </x:c>
      <x:c r="D10" t="str">
        <x:v>bn shares</x:v>
      </x:c>
      <x:c r="E10" t="str">
        <x:v>CALCULATED</x:v>
      </x:c>
      <x:c r="F10" t="str">
        <x:v>Per-share bridge</x:v>
      </x:c>
      <x:c r="G10" t="str">
        <x:v>Adjusted BVPS</x:v>
      </x:c>
    </x:row>
    <x:row r="11">
      <x:c r="A11" t="str">
        <x:v>8</x:v>
      </x:c>
      <x:c r="B11" t="str">
        <x:v>Normalized Justified P/B</x:v>
      </x:c>
      <x:c r="C11" s="18" t="n">
        <x:v>1.2</x:v>
      </x:c>
      <x:c r="D11" t="str">
        <x:v>x</x:v>
      </x:c>
      <x:c r="E11" t="str">
        <x:v>CALCULATED</x:v>
      </x:c>
      <x:c r="F11" t="str">
        <x:v>Post-restructuring profitability</x:v>
      </x:c>
      <x:c r="G11" t="str">
        <x:v>Restructured value</x:v>
      </x:c>
    </x:row>
    <x:row r="13">
      <x:c r="A13" s="10" t="str">
        <x:v>Output</x:v>
      </x:c>
      <x:c r="B13" s="10" t="str">
        <x:v>Formula</x:v>
      </x:c>
      <x:c r="C13" s="10" t="str">
        <x:v>Value</x:v>
      </x:c>
    </x:row>
    <x:row r="14">
      <x:c r="A14" t="str">
        <x:v>Extra Provision</x:v>
      </x:c>
      <x:c r="B14" t="str"/>
      <x:c r="C14" s="22" t="n">
        <x:f>C5*C7</x:f>
        <x:v>3000</x:v>
      </x:c>
    </x:row>
    <x:row r="15">
      <x:c r="A15" t="str">
        <x:v>NPL Haircut</x:v>
      </x:c>
      <x:c r="B15" t="str"/>
      <x:c r="C15" s="22" t="n">
        <x:f>C5*C6*C8</x:f>
        <x:v>4200</x:v>
      </x:c>
    </x:row>
    <x:row r="16">
      <x:c r="A16" t="str">
        <x:v>Adjusted Equity</x:v>
      </x:c>
      <x:c r="B16" t="str"/>
      <x:c r="C16" s="22" t="n">
        <x:f>C4-C14-C15-C9</x:f>
        <x:v>32800</x:v>
      </x:c>
    </x:row>
    <x:row r="17">
      <x:c r="A17" t="str">
        <x:v>Restructured Value / Share</x:v>
      </x:c>
      <x:c r="B17" t="str"/>
      <x:c r="C17" s="22" t="n">
        <x:f>C16/C10*C11</x:f>
        <x:v>19680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2" hidden="0" customWidth="1"/>
    <x:col min="4" max="4" width="40" hidden="0" customWidth="1"/>
    <x:col min="5" max="5" width="40" hidden="0" customWidth="1"/>
    <x:col min="6" max="6" width="24" hidden="0" customWidth="1"/>
    <x:col min="7" max="7" width="44" hidden="0" customWidth="1"/>
    <x:col min="8" max="8" width="48" hidden="0" customWidth="1"/>
    <x:col min="9" max="9" width="48" hidden="0" customWidth="1"/>
  </x:cols>
  <x:sheetData>
    <x:row r="1" ht="28" customHeight="1">
      <x:c r="A1" s="14" t="str">
        <x:v>MODEL &amp; DATA GOVERNANCE</x:v>
      </x:c>
      <x:c r="B1" s="14"/>
      <x:c r="C1" s="14"/>
      <x:c r="D1" s="14"/>
      <x:c r="E1" s="14"/>
      <x:c r="F1" s="14"/>
      <x:c r="G1" s="14"/>
      <x:c r="H1" s="14"/>
      <x:c r="I1" s="14"/>
    </x:row>
    <x:row r="3">
      <x:c r="A3" s="10" t="str">
        <x:v>Area</x:v>
      </x:c>
      <x:c r="B3" s="10" t="str">
        <x:v>Primary method</x:v>
      </x:c>
      <x:c r="C3" s="10" t="str">
        <x:v>Cross-check</x:v>
      </x:c>
      <x:c r="D3" s="10" t="str">
        <x:v>ACTUAL requirements</x:v>
      </x:c>
      <x:c r="E3" s="10" t="str">
        <x:v>Assumptions allowed</x:v>
      </x:c>
      <x:c r="F3" s="10" t="str">
        <x:v>Output label</x:v>
      </x:c>
      <x:c r="G3" s="10" t="str">
        <x:v>Guardrail</x:v>
      </x:c>
      <x:c r="H3" s="10" t="str">
        <x:v>International practice</x:v>
      </x:c>
      <x:c r="I3" s="10" t="str">
        <x:v>Vietnam practice</x:v>
      </x:c>
    </x:row>
    <x:row r="4">
      <x:c r="A4" t="str">
        <x:v>Equity valuation</x:v>
      </x:c>
      <x:c r="B4" t="str">
        <x:v>Residual Income / Excess Return</x:v>
      </x:c>
      <x:c r="C4" t="str">
        <x:v>Justified P/B; Peer P/B; Historical P/B</x:v>
      </x:c>
      <x:c r="D4" t="str">
        <x:v>Price, equity/BVPS, ROE/NPAT</x:v>
      </x:c>
      <x:c r="E4" t="str">
        <x:v>COE, LT growth, payout, normalized ROE</x:v>
      </x:c>
      <x:c r="F4" t="str">
        <x:v>CALCULATED</x:v>
      </x:c>
      <x:c r="G4" t="str">
        <x:v>Renormalize weights if a method unavailable</x:v>
      </x:c>
      <x:c r="H4" t="str">
        <x:v>Bank equity focuses on book value/profitability rather than EV/EBITDA</x:v>
      </x:c>
      <x:c r="I4" t="str">
        <x:v>Use VAS/Vnstock reported financials; verify data lineage</x:v>
      </x:c>
    </x:row>
    <x:row r="5">
      <x:c r="A5" t="str">
        <x:v>M&amp;A / Control value</x:v>
      </x:c>
      <x:c r="B5" t="str">
        <x:v>Standalone value + control premium + synergies</x:v>
      </x:c>
      <x:c r="C5" t="str">
        <x:v>Precedent P/B/P-TBV</x:v>
      </x:c>
      <x:c r="D5" t="str">
        <x:v>Standalone value and target financials</x:v>
      </x:c>
      <x:c r="E5" t="str">
        <x:v>Control premium, synergy, integration, recapitalization</x:v>
      </x:c>
      <x:c r="F5" t="str">
        <x:v>SCENARIO_ASSUMPTION</x:v>
      </x:c>
      <x:c r="G5" t="str">
        <x:v>Never present illustrative offer as observed deal price</x:v>
      </x:c>
      <x:c r="H5" t="str">
        <x:v>IFRS 3 acquisition method; control premium can differ by stake</x:v>
      </x:c>
      <x:c r="I5" t="str">
        <x:v>Subject to banking ownership/approval framework</x:v>
      </x:c>
    </x:row>
    <x:row r="6">
      <x:c r="A6" t="str">
        <x:v>PPA</x:v>
      </x:c>
      <x:c r="B6" t="str">
        <x:v>FV identifiable net assets</x:v>
      </x:c>
      <x:c r="C6" t="str">
        <x:v>TBV / adjusted net assets</x:v>
      </x:c>
      <x:c r="D6" t="str">
        <x:v>Target balance sheet</x:v>
      </x:c>
      <x:c r="E6" t="str">
        <x:v>Credit mark, securities FV, intangible franchise</x:v>
      </x:c>
      <x:c r="F6" t="str">
        <x:v>SCENARIO_ASSUMPTION</x:v>
      </x:c>
      <x:c r="G6" t="str">
        <x:v>Goodwill only after identifiable FV adjustments</x:v>
      </x:c>
      <x:c r="H6" t="str">
        <x:v>IFRS 3 goodwill/bargain purchase</x:v>
      </x:c>
      <x:c r="I6" t="str">
        <x:v>Consider VAS 11 / IFRS transition and deal-specific accounting</x:v>
      </x:c>
    </x:row>
    <x:row r="7">
      <x:c r="A7" t="str">
        <x:v>Restructuring</x:v>
      </x:c>
      <x:c r="B7" t="str">
        <x:v>Adjusted Book Value</x:v>
      </x:c>
      <x:c r="C7" t="str">
        <x:v>Normalized P/B</x:v>
      </x:c>
      <x:c r="D7" t="str">
        <x:v>Reported equity, loans, NPL</x:v>
      </x:c>
      <x:c r="E7" t="str">
        <x:v>Extra provision, recovery haircut, recapitalization</x:v>
      </x:c>
      <x:c r="F7" t="str">
        <x:v>SCENARIO_ASSUMPTION</x:v>
      </x:c>
      <x:c r="G7" t="str">
        <x:v>Do not call low P/B cheap before cleaning book value</x:v>
      </x:c>
      <x:c r="H7" t="str">
        <x:v>Workout/recovery and capital repair before valuation</x:v>
      </x:c>
      <x:c r="I7" t="str">
        <x:v>Relevant for special-control / restructuring situations</x:v>
      </x:c>
    </x:row>
    <x:row r="8">
      <x:c r="A8" t="str">
        <x:v>Precedents</x:v>
      </x:c>
      <x:c r="B8" t="str">
        <x:v>Verified transaction multiples</x:v>
      </x:c>
      <x:c r="C8" t="str">
        <x:v>Control premium / strategic rationale</x:v>
      </x:c>
      <x:c r="D8" t="str">
        <x:v>Transaction price, stake, target book value</x:v>
      </x:c>
      <x:c r="E8" t="str">
        <x:v>None for observed multiples</x:v>
      </x:c>
      <x:c r="F8" t="str">
        <x:v>ACTUAL_PUBLIC</x:v>
      </x:c>
      <x:c r="G8" t="str">
        <x:v>Source URL mandatory</x:v>
      </x:c>
      <x:c r="H8" t="str">
        <x:v>Use comparable control/stake and accounting basis</x:v>
      </x:c>
      <x:c r="I8" t="str">
        <x:v>Adjust for foreign ownership and regulatory conditions</x:v>
      </x:c>
    </x:row>
    <x:row r="9">
      <x:c r="A9" t="str">
        <x:v>Data</x:v>
      </x:c>
      <x:c r="B9" t="str">
        <x:v>Vnstock Bronze local</x:v>
      </x:c>
      <x:c r="C9" t="str">
        <x:v>Official filings / IR</x:v>
      </x:c>
      <x:c r="D9" t="str">
        <x:v>Raw source retained</x:v>
      </x:c>
      <x:c r="E9" t="str">
        <x:v>No fabrication</x:v>
      </x:c>
      <x:c r="F9" t="str">
        <x:v>ACTUAL</x:v>
      </x:c>
      <x:c r="G9" t="str">
        <x:v>Missing remains N/A</x:v>
      </x:c>
      <x:c r="H9" t="str">
        <x:v>Audit trail</x:v>
      </x:c>
      <x:c r="I9" t="str">
        <x:v>Local pipeline; Cloud read-only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80" hidden="0" customWidth="1"/>
    <x:col min="4" max="4" width="70" hidden="0" customWidth="1"/>
  </x:cols>
  <x:sheetData>
    <x:row r="1" ht="28" customHeight="1">
      <x:c r="A1" s="14" t="str">
        <x:v>REGULATORY &amp; METHODOLOGY SOURCES</x:v>
      </x:c>
      <x:c r="B1" s="14"/>
      <x:c r="C1" s="14"/>
      <x:c r="D1" s="14"/>
    </x:row>
    <x:row r="3">
      <x:c r="A3" s="10" t="str">
        <x:v>Topic</x:v>
      </x:c>
      <x:c r="B3" s="10" t="str">
        <x:v>Source</x:v>
      </x:c>
      <x:c r="C3" s="10" t="str">
        <x:v>URL</x:v>
      </x:c>
      <x:c r="D3" s="10" t="str">
        <x:v>Use in model</x:v>
      </x:c>
    </x:row>
    <x:row r="4">
      <x:c r="A4" t="str">
        <x:v>IFRS 3</x:v>
      </x:c>
      <x:c r="B4" t="str">
        <x:v>IFRS Foundation</x:v>
      </x:c>
      <x:c r="C4" t="str">
        <x:v>https://www.ifrs.org/issued-standards/list-of-standards/ifrs-3-business-combinations/</x:v>
      </x:c>
      <x:c r="D4" t="str">
        <x:v>Acquisition method, FV identifiable assets/liabilities, goodwill/bargain purchase</x:v>
      </x:c>
    </x:row>
    <x:row r="5">
      <x:c r="A5" t="str">
        <x:v>Foreign ownership in Vietnamese credit institutions</x:v>
      </x:c>
      <x:c r="B5" t="str">
        <x:v>Government of Vietnam — Decree 69/2025/NĐ-CP</x:v>
      </x:c>
      <x:c r="C5" t="str">
        <x:v>https://vanban.chinhphu.vn/?docid=213150&amp;pageid=27160</x:v>
      </x:c>
      <x:c r="D5" t="str">
        <x:v>M&amp;A regulatory screen / ownership assumptions</x:v>
      </x:c>
    </x:row>
    <x:row r="6">
      <x:c r="A6" t="str">
        <x:v>Capital contribution / share purchase approvals</x:v>
      </x:c>
      <x:c r="B6" t="str">
        <x:v>SBV consolidated document 54/VBHN-NHNN dated 21/05/2026</x:v>
      </x:c>
      <x:c r="C6" t="str">
        <x:v>https://vanban.chinhphu.vn/?classid=2629&amp;docid=218467&amp;pageid=27160</x:v>
      </x:c>
      <x:c r="D6" t="str">
        <x:v>Regulatory approval framework</x:v>
      </x:c>
    </x:row>
    <x:row r="7">
      <x:c r="A7" t="str">
        <x:v>Vnstock Fundamental</x:v>
      </x:c>
      <x:c r="B7" t="str">
        <x:v>Vnstock Sponsor documentation</x:v>
      </x:c>
      <x:c r="C7" t="str">
        <x:v>https://vnstocks.com/docs/vnstock-data/fundamental-layer-v3</x:v>
      </x:c>
      <x:c r="D7" t="str">
        <x:v>BCTC, ratios, financial health, filings</x:v>
      </x:c>
    </x:row>
    <x:row r="8">
      <x:c r="A8" t="str">
        <x:v>Vnstock Market</x:v>
      </x:c>
      <x:c r="B8" t="str">
        <x:v>Vnstock Sponsor documentation</x:v>
      </x:c>
      <x:c r="C8" t="str">
        <x:v>https://vnstocks.com/docs/vnstock-data/market-layer-v3</x:v>
      </x:c>
      <x:c r="D8" t="str">
        <x:v>OHLCV and market price</x:v>
      </x:c>
    </x:row>
    <x:row r="9">
      <x:c r="A9" t="str">
        <x:v>IFRS business-combination disclosure project</x:v>
      </x:c>
      <x:c r="B9" t="str">
        <x:v>IFRS Foundation</x:v>
      </x:c>
      <x:c r="C9" t="str">
        <x:v>https://www.ifrs.org/projects/work-plan/goodwill-and-impairment/</x:v>
      </x:c>
      <x:c r="D9" t="str">
        <x:v>Monitor evolving synergy/performance disclosure practice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6" hidden="0" customWidth="1"/>
    <x:col min="5" max="5" width="26" hidden="0" customWidth="1"/>
    <x:col min="6" max="6" width="16" hidden="0" customWidth="1"/>
    <x:col min="7" max="7" width="28" hidden="0" customWidth="1"/>
  </x:cols>
  <x:sheetData>
    <x:row r="1" ht="28" customHeight="1">
      <x:c r="A1" s="37" t="str">
        <x:v>BANK-SPECIFIC VALUATION ASSUMPTIONS</x:v>
      </x:c>
      <x:c r="B1" s="37"/>
      <x:c r="C1" s="37"/>
      <x:c r="D1" s="37"/>
      <x:c r="E1" s="37"/>
      <x:c r="F1" s="37"/>
      <x:c r="G1" s="37"/>
    </x:row>
    <x:row r="3">
      <x:c r="A3" s="40" t="str">
        <x:v>Ticker</x:v>
      </x:c>
      <x:c r="B3" s="40" t="str">
        <x:v>Beta</x:v>
      </x:c>
      <x:c r="C3" s="40" t="str">
        <x:v>Size Premium</x:v>
      </x:c>
      <x:c r="D3" s="40" t="str">
        <x:v>LT Growth</x:v>
      </x:c>
      <x:c r="E3" s="40" t="str">
        <x:v>Normalized ROE Override</x:v>
      </x:c>
      <x:c r="F3" s="40" t="str">
        <x:v>Payout Ratio</x:v>
      </x:c>
      <x:c r="G3" s="40" t="str">
        <x:v>Note</x:v>
      </x:c>
    </x:row>
    <x:row r="4">
      <x:c r="A4" t="str">
        <x:v>VCB</x:v>
      </x:c>
      <x:c r="B4" s="41" t="n">
        <x:v>0.9</x:v>
      </x:c>
      <x:c r="C4" s="42" t="n">
        <x:v>0</x:v>
      </x:c>
      <x:c r="D4" s="42" t="n">
        <x:v>0.055</x:v>
      </x:c>
      <x:c r="E4" s="42"/>
      <x:c r="F4" s="42" t="n">
        <x:v>0.25</x:v>
      </x:c>
      <x:c r="G4" t="str">
        <x:v>Editable</x:v>
      </x:c>
    </x:row>
    <x:row r="5">
      <x:c r="A5" t="str">
        <x:v>BID</x:v>
      </x:c>
      <x:c r="B5" s="41" t="n">
        <x:v>1</x:v>
      </x:c>
      <x:c r="C5" s="42" t="n">
        <x:v>0</x:v>
      </x:c>
      <x:c r="D5" s="42" t="n">
        <x:v>0.05</x:v>
      </x:c>
      <x:c r="E5" s="42"/>
      <x:c r="F5" s="42" t="n">
        <x:v>0.2</x:v>
      </x:c>
      <x:c r="G5" t="str">
        <x:v>Editable</x:v>
      </x:c>
    </x:row>
    <x:row r="6">
      <x:c r="A6" t="str">
        <x:v>CTG</x:v>
      </x:c>
      <x:c r="B6" s="41" t="n">
        <x:v>1</x:v>
      </x:c>
      <x:c r="C6" s="42" t="n">
        <x:v>0</x:v>
      </x:c>
      <x:c r="D6" s="42" t="n">
        <x:v>0.05</x:v>
      </x:c>
      <x:c r="E6" s="42"/>
      <x:c r="F6" s="42" t="n">
        <x:v>0.2</x:v>
      </x:c>
      <x:c r="G6" t="str">
        <x:v>Editable</x:v>
      </x:c>
    </x:row>
    <x:row r="7">
      <x:c r="A7" t="str">
        <x:v>TCB</x:v>
      </x:c>
      <x:c r="B7" s="41" t="n">
        <x:v>1.05</x:v>
      </x:c>
      <x:c r="C7" s="42" t="n">
        <x:v>0</x:v>
      </x:c>
      <x:c r="D7" s="42" t="n">
        <x:v>0.055</x:v>
      </x:c>
      <x:c r="E7" s="42"/>
      <x:c r="F7" s="42" t="n">
        <x:v>0.2</x:v>
      </x:c>
      <x:c r="G7" t="str">
        <x:v>Editable</x:v>
      </x:c>
    </x:row>
    <x:row r="8">
      <x:c r="A8" t="str">
        <x:v>MBB</x:v>
      </x:c>
      <x:c r="B8" s="41" t="n">
        <x:v>1.05</x:v>
      </x:c>
      <x:c r="C8" s="42" t="n">
        <x:v>0</x:v>
      </x:c>
      <x:c r="D8" s="42" t="n">
        <x:v>0.055</x:v>
      </x:c>
      <x:c r="E8" s="42"/>
      <x:c r="F8" s="42" t="n">
        <x:v>0.2</x:v>
      </x:c>
      <x:c r="G8" t="str">
        <x:v>Editable</x:v>
      </x:c>
    </x:row>
    <x:row r="9">
      <x:c r="A9" t="str">
        <x:v>ACB</x:v>
      </x:c>
      <x:c r="B9" s="41" t="n">
        <x:v>0.95</x:v>
      </x:c>
      <x:c r="C9" s="42" t="n">
        <x:v>0</x:v>
      </x:c>
      <x:c r="D9" s="42" t="n">
        <x:v>0.05</x:v>
      </x:c>
      <x:c r="E9" s="42"/>
      <x:c r="F9" s="42" t="n">
        <x:v>0.25</x:v>
      </x:c>
      <x:c r="G9" t="str">
        <x:v>Editable</x:v>
      </x:c>
    </x:row>
    <x:row r="10">
      <x:c r="A10" t="str">
        <x:v>HDB</x:v>
      </x:c>
      <x:c r="B10" s="41" t="n">
        <x:v>1.1</x:v>
      </x:c>
      <x:c r="C10" s="42" t="n">
        <x:v>0.005</x:v>
      </x:c>
      <x:c r="D10" s="42" t="n">
        <x:v>0.055</x:v>
      </x:c>
      <x:c r="E10" s="42"/>
      <x:c r="F10" s="42" t="n">
        <x:v>0.15</x:v>
      </x:c>
      <x:c r="G10" t="str">
        <x:v>Editable</x:v>
      </x:c>
    </x:row>
    <x:row r="11">
      <x:c r="A11" t="str">
        <x:v>VPB</x:v>
      </x:c>
      <x:c r="B11" s="41" t="n">
        <x:v>1.2</x:v>
      </x:c>
      <x:c r="C11" s="42" t="n">
        <x:v>0.005</x:v>
      </x:c>
      <x:c r="D11" s="42" t="n">
        <x:v>0.055</x:v>
      </x:c>
      <x:c r="E11" s="42"/>
      <x:c r="F11" s="42" t="n">
        <x:v>0.15</x:v>
      </x:c>
      <x:c r="G11" t="str">
        <x:v>Editable</x:v>
      </x:c>
    </x:row>
    <x:row r="12">
      <x:c r="A12" t="str">
        <x:v>STB</x:v>
      </x:c>
      <x:c r="B12" s="41" t="n">
        <x:v>1.1</x:v>
      </x:c>
      <x:c r="C12" s="42" t="n">
        <x:v>0.005</x:v>
      </x:c>
      <x:c r="D12" s="42" t="n">
        <x:v>0.05</x:v>
      </x:c>
      <x:c r="E12" s="42"/>
      <x:c r="F12" s="42" t="n">
        <x:v>0.15</x:v>
      </x:c>
      <x:c r="G12" t="str">
        <x:v>Editable</x:v>
      </x:c>
    </x:row>
    <x:row r="13">
      <x:c r="A13" t="str">
        <x:v>VIB</x:v>
      </x:c>
      <x:c r="B13" s="41" t="n">
        <x:v>1.15</x:v>
      </x:c>
      <x:c r="C13" s="42" t="n">
        <x:v>0.005</x:v>
      </x:c>
      <x:c r="D13" s="42" t="n">
        <x:v>0.05</x:v>
      </x:c>
      <x:c r="E13" s="42"/>
      <x:c r="F13" s="42" t="n">
        <x:v>0.15</x:v>
      </x:c>
      <x:c r="G13" t="str">
        <x:v>Editable</x:v>
      </x:c>
    </x:row>
    <x:row r="14">
      <x:c r="A14" t="str">
        <x:v>SHB</x:v>
      </x:c>
      <x:c r="B14" s="41" t="n">
        <x:v>1.15</x:v>
      </x:c>
      <x:c r="C14" s="42" t="n">
        <x:v>0.005</x:v>
      </x:c>
      <x:c r="D14" s="42" t="n">
        <x:v>0.05</x:v>
      </x:c>
      <x:c r="E14" s="42"/>
      <x:c r="F14" s="42" t="n">
        <x:v>0.1</x:v>
      </x:c>
      <x:c r="G14" t="str">
        <x:v>Editable</x:v>
      </x:c>
    </x:row>
    <x:row r="15">
      <x:c r="A15" t="str">
        <x:v>TPB</x:v>
      </x:c>
      <x:c r="B15" s="41" t="n">
        <x:v>1.15</x:v>
      </x:c>
      <x:c r="C15" s="42" t="n">
        <x:v>0.005</x:v>
      </x:c>
      <x:c r="D15" s="42" t="n">
        <x:v>0.05</x:v>
      </x:c>
      <x:c r="E15" s="42"/>
      <x:c r="F15" s="42" t="n">
        <x:v>0.15</x:v>
      </x:c>
      <x:c r="G15" t="str">
        <x:v>Editable</x:v>
      </x:c>
    </x:row>
    <x:row r="16">
      <x:c r="A16" t="str">
        <x:v>LPB</x:v>
      </x:c>
      <x:c r="B16" s="41" t="n">
        <x:v>1.1</x:v>
      </x:c>
      <x:c r="C16" s="42" t="n">
        <x:v>0.005</x:v>
      </x:c>
      <x:c r="D16" s="42" t="n">
        <x:v>0.05</x:v>
      </x:c>
      <x:c r="E16" s="42"/>
      <x:c r="F16" s="42" t="n">
        <x:v>0.15</x:v>
      </x:c>
      <x:c r="G16" t="str">
        <x:v>Editable</x:v>
      </x:c>
    </x:row>
    <x:row r="17">
      <x:c r="A17" t="str">
        <x:v>OCB</x:v>
      </x:c>
      <x:c r="B17" s="41" t="n">
        <x:v>1.15</x:v>
      </x:c>
      <x:c r="C17" s="42" t="n">
        <x:v>0.005</x:v>
      </x:c>
      <x:c r="D17" s="42" t="n">
        <x:v>0.05</x:v>
      </x:c>
      <x:c r="E17" s="42"/>
      <x:c r="F17" s="42" t="n">
        <x:v>0.15</x:v>
      </x:c>
      <x:c r="G17" t="str">
        <x:v>Editable</x:v>
      </x:c>
    </x:row>
    <x:row r="18">
      <x:c r="A18" t="str">
        <x:v>MSB</x:v>
      </x:c>
      <x:c r="B18" s="41" t="n">
        <x:v>1.1</x:v>
      </x:c>
      <x:c r="C18" s="42" t="n">
        <x:v>0.005</x:v>
      </x:c>
      <x:c r="D18" s="42" t="n">
        <x:v>0.05</x:v>
      </x:c>
      <x:c r="E18" s="42"/>
      <x:c r="F18" s="42" t="n">
        <x:v>0.15</x:v>
      </x:c>
      <x:c r="G18" t="str">
        <x:v>Editable</x:v>
      </x:c>
    </x:row>
    <x:row r="19">
      <x:c r="A19" t="str">
        <x:v>SSB</x:v>
      </x:c>
      <x:c r="B19" s="41" t="n">
        <x:v>1.1</x:v>
      </x:c>
      <x:c r="C19" s="42" t="n">
        <x:v>0.005</x:v>
      </x:c>
      <x:c r="D19" s="42" t="n">
        <x:v>0.05</x:v>
      </x:c>
      <x:c r="E19" s="42"/>
      <x:c r="F19" s="42" t="n">
        <x:v>0.15</x:v>
      </x:c>
      <x:c r="G19" t="str">
        <x:v>Editable</x:v>
      </x:c>
    </x:row>
    <x:row r="20">
      <x:c r="A20" t="str">
        <x:v>EIB</x:v>
      </x:c>
      <x:c r="B20" s="41" t="n">
        <x:v>1.05</x:v>
      </x:c>
      <x:c r="C20" s="42" t="n">
        <x:v>0.005</x:v>
      </x:c>
      <x:c r="D20" s="42" t="n">
        <x:v>0.045</x:v>
      </x:c>
      <x:c r="E20" s="42"/>
      <x:c r="F20" s="42" t="n">
        <x:v>0.15</x:v>
      </x:c>
      <x:c r="G20" t="str">
        <x:v>Editable</x:v>
      </x:c>
    </x:row>
    <x:row r="21">
      <x:c r="A21" t="str">
        <x:v>NAB</x:v>
      </x:c>
      <x:c r="B21" s="41" t="n">
        <x:v>1.2</x:v>
      </x:c>
      <x:c r="C21" s="42" t="n">
        <x:v>0.01</x:v>
      </x:c>
      <x:c r="D21" s="42" t="n">
        <x:v>0.05</x:v>
      </x:c>
      <x:c r="E21" s="42"/>
      <x:c r="F21" s="42" t="n">
        <x:v>0.1</x:v>
      </x:c>
      <x:c r="G21" t="str">
        <x:v>Editable</x:v>
      </x:c>
    </x:row>
    <x:row r="22">
      <x:c r="A22" t="str">
        <x:v>KLB</x:v>
      </x:c>
      <x:c r="B22" s="41" t="n">
        <x:v>1.25</x:v>
      </x:c>
      <x:c r="C22" s="42" t="n">
        <x:v>0.01</x:v>
      </x:c>
      <x:c r="D22" s="42" t="n">
        <x:v>0.045</x:v>
      </x:c>
      <x:c r="E22" s="42"/>
      <x:c r="F22" s="42" t="n">
        <x:v>0.1</x:v>
      </x:c>
      <x:c r="G22" t="str">
        <x:v>Editable</x:v>
      </x:c>
    </x:row>
    <x:row r="23">
      <x:c r="A23" t="str">
        <x:v>BAB</x:v>
      </x:c>
      <x:c r="B23" s="41" t="n">
        <x:v>1.25</x:v>
      </x:c>
      <x:c r="C23" s="42" t="n">
        <x:v>0.01</x:v>
      </x:c>
      <x:c r="D23" s="42" t="n">
        <x:v>0.045</x:v>
      </x:c>
      <x:c r="E23" s="42"/>
      <x:c r="F23" s="42" t="n">
        <x:v>0.1</x:v>
      </x:c>
      <x:c r="G23" t="str">
        <x:v>Editable</x:v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6" hidden="0" customWidth="1"/>
    <x:col min="4" max="4" width="38" hidden="0" customWidth="1"/>
    <x:col min="5" max="5" width="24" hidden="0" customWidth="1"/>
    <x:col min="6" max="6" width="30" hidden="0" customWidth="1"/>
  </x:cols>
  <x:sheetData>
    <x:row r="1" ht="28" customHeight="1">
      <x:c r="A1" s="58" t="str">
        <x:v>TRỌNG SỐ THẺ ĐIỂM ĐẦU TƯ NGÂN HÀNG</x:v>
      </x:c>
      <x:c r="B1" s="58"/>
      <x:c r="C1" s="58"/>
      <x:c r="D1" s="58"/>
      <x:c r="E1" s="58"/>
      <x:c r="F1" s="58"/>
    </x:row>
    <x:row r="3">
      <x:c r="A3" s="55" t="str">
        <x:v>Trụ cột</x:v>
      </x:c>
      <x:c r="B3" s="55" t="str">
        <x:v>Trọng số</x:v>
      </x:c>
      <x:c r="C3" s="55" t="str">
        <x:v>Nhóm chỉ tiêu</x:v>
      </x:c>
      <x:c r="D3" s="55" t="str">
        <x:v>Nguyên tắc</x:v>
      </x:c>
      <x:c r="E3" s="55" t="str">
        <x:v>Loại dữ liệu</x:v>
      </x:c>
      <x:c r="F3" s="55" t="str">
        <x:v>Ghi chú</x:v>
      </x:c>
    </x:row>
    <x:row r="4">
      <x:c r="A4" t="str">
        <x:v>Sinh lời</x:v>
      </x:c>
      <x:c r="B4" s="57" t="n">
        <x:v>0.22</x:v>
      </x:c>
      <x:c r="C4" t="str">
        <x:v>ROE, ROA, NIM</x:v>
      </x:c>
      <x:c r="D4" t="str">
        <x:v>Cao hơn tốt hơn</x:v>
      </x:c>
      <x:c r="E4" t="str">
        <x:v>ACTUAL/CALCULATED</x:v>
      </x:c>
      <x:c r="F4" t="str"/>
    </x:row>
    <x:row r="5">
      <x:c r="A5" t="str">
        <x:v>Tăng trưởng</x:v>
      </x:c>
      <x:c r="B5" s="57" t="n">
        <x:v>0.15</x:v>
      </x:c>
      <x:c r="C5" t="str">
        <x:v>Tín dụng, tiền gửi, LNST</x:v>
      </x:c>
      <x:c r="D5" t="str">
        <x:v>Tăng trưởng có chất lượng</x:v>
      </x:c>
      <x:c r="E5" t="str">
        <x:v>CALCULATED</x:v>
      </x:c>
      <x:c r="F5" t="str"/>
    </x:row>
    <x:row r="6">
      <x:c r="A6" t="str">
        <x:v>Chất lượng tài sản</x:v>
      </x:c>
      <x:c r="B6" s="57" t="n">
        <x:v>0.18</x:v>
      </x:c>
      <x:c r="C6" t="str">
        <x:v>NPL, dự phòng</x:v>
      </x:c>
      <x:c r="D6" t="str">
        <x:v>NPL thấp tốt hơn</x:v>
      </x:c>
      <x:c r="E6" t="str">
        <x:v>ACTUAL/CALCULATED</x:v>
      </x:c>
      <x:c r="F6" t="str"/>
    </x:row>
    <x:row r="7">
      <x:c r="A7" t="str">
        <x:v>Nguồn vốn</x:v>
      </x:c>
      <x:c r="B7" s="57" t="n">
        <x:v>0.12</x:v>
      </x:c>
      <x:c r="C7" t="str">
        <x:v>CASA, LDR</x:v>
      </x:c>
      <x:c r="D7" t="str">
        <x:v>CASA cao; LDR cân bằng</x:v>
      </x:c>
      <x:c r="E7" t="str">
        <x:v>ACTUAL/CALCULATED</x:v>
      </x:c>
      <x:c r="F7" t="str"/>
    </x:row>
    <x:row r="8">
      <x:c r="A8" t="str">
        <x:v>An toàn vốn</x:v>
      </x:c>
      <x:c r="B8" s="57" t="n">
        <x:v>0.13</x:v>
      </x:c>
      <x:c r="C8" t="str">
        <x:v>CAR, VCSH/TTS</x:v>
      </x:c>
      <x:c r="D8" t="str">
        <x:v>Cao hơn tốt hơn</x:v>
      </x:c>
      <x:c r="E8" t="str">
        <x:v>ACTUAL/CALCULATED</x:v>
      </x:c>
      <x:c r="F8" t="str"/>
    </x:row>
    <x:row r="9">
      <x:c r="A9" t="str">
        <x:v>Định giá</x:v>
      </x:c>
      <x:c r="B9" s="57" t="n">
        <x:v>0.2</x:v>
      </x:c>
      <x:c r="C9" t="str">
        <x:v>Upside, P/B, P/E</x:v>
      </x:c>
      <x:c r="D9" t="str">
        <x:v>Upside cao, multiple thấp</x:v>
      </x:c>
      <x:c r="E9" t="str">
        <x:v>CALCULATED</x:v>
      </x:c>
      <x:c r="F9" t="str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18" hidden="0" customWidth="1"/>
    <x:col min="5" max="5" width="34" hidden="0" customWidth="1"/>
    <x:col min="6" max="6" width="44" hidden="0" customWidth="1"/>
  </x:cols>
  <x:sheetData>
    <x:row r="1" ht="28" customHeight="1">
      <x:c r="A1" s="58" t="str">
        <x:v>CẤU HÌNH BÁO CÁO A4 &amp; CHẾ ĐỘ TRÌNH BÀY</x:v>
      </x:c>
      <x:c r="B1" s="58"/>
      <x:c r="C1" s="58"/>
      <x:c r="D1" s="58"/>
      <x:c r="E1" s="58"/>
      <x:c r="F1" s="58"/>
    </x:row>
    <x:row r="3">
      <x:c r="A3" s="55" t="str">
        <x:v>Tham số</x:v>
      </x:c>
      <x:c r="B3" s="55" t="str">
        <x:v>Giá trị</x:v>
      </x:c>
      <x:c r="C3" s="55" t="str">
        <x:v>Đơn vị</x:v>
      </x:c>
      <x:c r="D3" s="55" t="str">
        <x:v>Loại</x:v>
      </x:c>
      <x:c r="E3" s="55" t="str">
        <x:v>Mục đích</x:v>
      </x:c>
      <x:c r="F3" s="55" t="str">
        <x:v>Ghi chú</x:v>
      </x:c>
    </x:row>
    <x:row r="4">
      <x:c r="A4" t="str">
        <x:v>Số trang mục tiêu</x:v>
      </x:c>
      <x:c r="B4" t="n">
        <x:v>10</x:v>
      </x:c>
      <x:c r="C4" t="str">
        <x:v>trang</x:v>
      </x:c>
      <x:c r="D4" t="str">
        <x:v>ASSUMPTION</x:v>
      </x:c>
      <x:c r="E4" t="str">
        <x:v>Báo cáo chính thức</x:v>
      </x:c>
      <x:c r="F4" t="str">
        <x:v>A4 dọc</x:v>
      </x:c>
    </x:row>
    <x:row r="5">
      <x:c r="A5" t="str">
        <x:v>Ngôn ngữ</x:v>
      </x:c>
      <x:c r="B5" t="str">
        <x:v>Tiếng Việt</x:v>
      </x:c>
      <x:c r="C5" t="str"/>
      <x:c r="D5" t="str">
        <x:v>ASSUMPTION</x:v>
      </x:c>
      <x:c r="E5" t="str">
        <x:v>Việt hóa tối đa</x:v>
      </x:c>
      <x:c r="F5" t="str">
        <x:v>Giữ ROE/ROA/NIM/CASA/CAR/NPL/P/B/P/E/P/TBV</x:v>
      </x:c>
    </x:row>
    <x:row r="6">
      <x:c r="A6" t="str">
        <x:v>Trang 1</x:v>
      </x:c>
      <x:c r="B6" t="str">
        <x:v>Tóm tắt điều hành</x:v>
      </x:c>
      <x:c r="C6" t="str"/>
      <x:c r="D6" t="str">
        <x:v>DESIGN</x:v>
      </x:c>
      <x:c r="E6" t="str">
        <x:v>Executive summary</x:v>
      </x:c>
      <x:c r="F6" t="str"/>
    </x:row>
    <x:row r="7">
      <x:c r="A7" t="str">
        <x:v>Trang 2</x:v>
      </x:c>
      <x:c r="B7" t="str">
        <x:v>Hồ sơ ngân hàng &amp; vị thế</x:v>
      </x:c>
      <x:c r="C7" t="str"/>
      <x:c r="D7" t="str">
        <x:v>DESIGN</x:v>
      </x:c>
      <x:c r="E7" t="str">
        <x:v>Business profile</x:v>
      </x:c>
      <x:c r="F7" t="str"/>
    </x:row>
    <x:row r="8">
      <x:c r="A8" t="str">
        <x:v>Trang 3</x:v>
      </x:c>
      <x:c r="B8" t="str">
        <x:v>Sinh lời &amp; hiệu quả</x:v>
      </x:c>
      <x:c r="C8" t="str"/>
      <x:c r="D8" t="str">
        <x:v>DESIGN</x:v>
      </x:c>
      <x:c r="E8" t="str">
        <x:v>Profitability</x:v>
      </x:c>
      <x:c r="F8" t="str"/>
    </x:row>
    <x:row r="9">
      <x:c r="A9" t="str">
        <x:v>Trang 4</x:v>
      </x:c>
      <x:c r="B9" t="str">
        <x:v>Chất lượng tài sản</x:v>
      </x:c>
      <x:c r="C9" t="str"/>
      <x:c r="D9" t="str">
        <x:v>DESIGN</x:v>
      </x:c>
      <x:c r="E9" t="str">
        <x:v>Asset quality</x:v>
      </x:c>
      <x:c r="F9" t="str"/>
    </x:row>
    <x:row r="10">
      <x:c r="A10" t="str">
        <x:v>Trang 5</x:v>
      </x:c>
      <x:c r="B10" t="str">
        <x:v>Nguồn vốn &amp; thanh khoản</x:v>
      </x:c>
      <x:c r="C10" t="str"/>
      <x:c r="D10" t="str">
        <x:v>DESIGN</x:v>
      </x:c>
      <x:c r="E10" t="str">
        <x:v>Funding</x:v>
      </x:c>
      <x:c r="F10" t="str"/>
    </x:row>
    <x:row r="11">
      <x:c r="A11" t="str">
        <x:v>Trang 6</x:v>
      </x:c>
      <x:c r="B11" t="str">
        <x:v>Vốn &amp; sức chống chịu</x:v>
      </x:c>
      <x:c r="C11" t="str"/>
      <x:c r="D11" t="str">
        <x:v>DESIGN</x:v>
      </x:c>
      <x:c r="E11" t="str">
        <x:v>Capital</x:v>
      </x:c>
      <x:c r="F11" t="str"/>
    </x:row>
    <x:row r="12">
      <x:c r="A12" t="str">
        <x:v>Trang 7</x:v>
      </x:c>
      <x:c r="B12" t="str">
        <x:v>Định giá tương đối</x:v>
      </x:c>
      <x:c r="C12" t="str"/>
      <x:c r="D12" t="str">
        <x:v>DESIGN</x:v>
      </x:c>
      <x:c r="E12" t="str">
        <x:v>Peer valuation</x:v>
      </x:c>
      <x:c r="F12" t="str"/>
    </x:row>
    <x:row r="14">
      <x:c r="A14" t="str">
        <x:v>Trang 8</x:v>
      </x:c>
      <x:c r="B14" t="str">
        <x:v>Định giá nội tại / M&amp;A</x:v>
      </x:c>
      <x:c r="C14" t="str"/>
      <x:c r="D14" t="str">
        <x:v>DESIGN</x:v>
      </x:c>
      <x:c r="E14" t="str">
        <x:v>Theo chế độ báo cáo</x:v>
      </x:c>
      <x:c r="F14" t="str"/>
    </x:row>
    <x:row r="15">
      <x:c r="A15" t="str">
        <x:v>Trang 9</x:v>
      </x:c>
      <x:c r="B15" t="str">
        <x:v>Sensitivity / PPA</x:v>
      </x:c>
      <x:c r="C15" t="str"/>
      <x:c r="D15" t="str">
        <x:v>DESIGN</x:v>
      </x:c>
      <x:c r="E15" t="str">
        <x:v>Theo chế độ báo cáo</x:v>
      </x:c>
      <x:c r="F15" t="str"/>
    </x:row>
    <x:row r="16">
      <x:c r="A16" t="str">
        <x:v>Trang 10</x:v>
      </x:c>
      <x:c r="B16" t="str">
        <x:v>Kết luận, động lực &amp; rủi ro</x:v>
      </x:c>
      <x:c r="C16" t="str"/>
      <x:c r="D16" t="str">
        <x:v>DESIGN</x:v>
      </x:c>
      <x:c r="E16" t="str">
        <x:v>Closing</x:v>
      </x:c>
      <x:c r="F16" t="str"/>
    </x:row>
    <x:row r="17">
      <x:c r="A17" t="str">
        <x:v>Định dạng xuất</x:v>
      </x:c>
      <x:c r="B17" t="str">
        <x:v>PDF + Word</x:v>
      </x:c>
      <x:c r="C17" t="str"/>
      <x:c r="D17" t="str">
        <x:v>DESIGN</x:v>
      </x:c>
      <x:c r="E17" t="str">
        <x:v>In ấn + chỉnh sửa</x:v>
      </x:c>
      <x:c r="F17" t="str">
        <x:v>Dashboard và report dùng cùng output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18" hidden="0" customWidth="1"/>
    <x:col min="5" max="5" width="38" hidden="0" customWidth="1"/>
    <x:col min="6" max="6" width="34" hidden="0" customWidth="1"/>
  </x:cols>
  <x:sheetData>
    <x:row r="1" ht="28" customHeight="1">
      <x:c r="A1" s="68" t="str">
        <x:v>KIỂM SOÁT CHẤT LƯỢNG &amp; ĐIỀU KIỆN PHÁT HÀNH BÁO CÁO</x:v>
      </x:c>
      <x:c r="B1" s="68"/>
      <x:c r="C1" s="68"/>
      <x:c r="D1" s="68"/>
      <x:c r="E1" s="68"/>
      <x:c r="F1" s="68"/>
    </x:row>
    <x:row r="3">
      <x:c r="A3" s="64" t="str">
        <x:v>Tham số</x:v>
      </x:c>
      <x:c r="B3" s="64" t="str">
        <x:v>Ngưỡng</x:v>
      </x:c>
      <x:c r="C3" s="64" t="str">
        <x:v>Đơn vị</x:v>
      </x:c>
      <x:c r="D3" s="64" t="str">
        <x:v>Loại</x:v>
      </x:c>
      <x:c r="E3" s="64" t="str">
        <x:v>Ý nghĩa</x:v>
      </x:c>
      <x:c r="F3" s="64" t="str">
        <x:v>Xử lý</x:v>
      </x:c>
    </x:row>
    <x:row r="4">
      <x:c r="A4" t="str">
        <x:v>Độ phủ tối thiểu - Chính thức</x:v>
      </x:c>
      <x:c r="B4" s="66" t="n">
        <x:v>0.8</x:v>
      </x:c>
      <x:c r="C4" t="str">
        <x:v>%</x:v>
      </x:c>
      <x:c r="D4" t="str">
        <x:v>ASSUMPTION</x:v>
      </x:c>
      <x:c r="E4" t="str">
        <x:v>Ngưỡng cho báo cáo chính thức</x:v>
      </x:c>
      <x:c r="F4" t="str">
        <x:v>Đủ ngưỡng + không lỗi trọng yếu</x:v>
      </x:c>
    </x:row>
    <x:row r="5">
      <x:c r="A5" t="str">
        <x:v>Độ phủ tối thiểu - Bản nháp</x:v>
      </x:c>
      <x:c r="B5" s="66" t="n">
        <x:v>0.6</x:v>
      </x:c>
      <x:c r="C5" t="str">
        <x:v>%</x:v>
      </x:c>
      <x:c r="D5" t="str">
        <x:v>ASSUMPTION</x:v>
      </x:c>
      <x:c r="E5" t="str">
        <x:v>Ngưỡng cho phép xuất draft</x:v>
      </x:c>
      <x:c r="F5" t="str">
        <x:v>Đóng dấu BẢN NHÁP</x:v>
      </x:c>
    </x:row>
    <x:row r="6">
      <x:c r="A6" t="str">
        <x:v>Số chỉ tiêu lõi thiếu tối đa - Chính thức</x:v>
      </x:c>
      <x:c r="B6" s="65" t="n">
        <x:v>2</x:v>
      </x:c>
      <x:c r="C6" t="str">
        <x:v>chỉ tiêu</x:v>
      </x:c>
      <x:c r="D6" t="str">
        <x:v>ASSUMPTION</x:v>
      </x:c>
      <x:c r="E6" t="str">
        <x:v>Kiểm soát completeness</x:v>
      </x:c>
      <x:c r="F6" t="str">
        <x:v>Vượt ngưỡng → draft</x:v>
      </x:c>
    </x:row>
    <x:row r="7">
      <x:c r="A7" t="str">
        <x:v>Số chỉ tiêu lõi thiếu tối đa - Bản nháp</x:v>
      </x:c>
      <x:c r="B7" s="65" t="n">
        <x:v>5</x:v>
      </x:c>
      <x:c r="C7" t="str">
        <x:v>chỉ tiêu</x:v>
      </x:c>
      <x:c r="D7" t="str">
        <x:v>ASSUMPTION</x:v>
      </x:c>
      <x:c r="E7" t="str">
        <x:v>Kiểm soát completeness</x:v>
      </x:c>
      <x:c r="F7" t="str">
        <x:v>Vượt ngưỡng → khóa xuất</x:v>
      </x:c>
    </x:row>
    <x:row r="8">
      <x:c r="A8" t="str">
        <x:v>Tuổi dữ liệu cảnh báo</x:v>
      </x:c>
      <x:c r="B8" s="65" t="n">
        <x:v>120</x:v>
      </x:c>
      <x:c r="C8" t="str">
        <x:v>ngày</x:v>
      </x:c>
      <x:c r="D8" t="str">
        <x:v>ASSUMPTION</x:v>
      </x:c>
      <x:c r="E8" t="str">
        <x:v>Kiểm soát freshness</x:v>
      </x:c>
      <x:c r="F8" t="str">
        <x:v>Hiện cảnh báo</x:v>
      </x:c>
    </x:row>
    <x:row r="9">
      <x:c r="A9" t="str">
        <x:v>ROE cao cần normalization</x:v>
      </x:c>
      <x:c r="B9" s="67" t="n">
        <x:v>0.3</x:v>
      </x:c>
      <x:c r="C9" t="str">
        <x:v>%</x:v>
      </x:c>
      <x:c r="D9" t="str">
        <x:v>ASSUMPTION</x:v>
      </x:c>
      <x:c r="E9" t="str">
        <x:v>Cảnh báo ROE bất thường</x:v>
      </x:c>
      <x:c r="F9" t="str">
        <x:v>Analyst review</x:v>
      </x:c>
    </x:row>
    <x:row r="10">
      <x:c r="A10" t="str">
        <x:v>NPL cao cần lưu ý</x:v>
      </x:c>
      <x:c r="B10" s="67" t="n">
        <x:v>0.03</x:v>
      </x:c>
      <x:c r="C10" t="str">
        <x:v>%</x:v>
      </x:c>
      <x:c r="D10" t="str">
        <x:v>ASSUMPTION</x:v>
      </x:c>
      <x:c r="E10" t="str">
        <x:v>Cảnh báo chất lượng tài sản</x:v>
      </x:c>
      <x:c r="F10" t="str">
        <x:v>Analyst review</x:v>
      </x:c>
    </x:row>
    <x:row r="11">
      <x:c r="A11" t="str">
        <x:v>CAR thấp cần lưu ý</x:v>
      </x:c>
      <x:c r="B11" s="67" t="n">
        <x:v>0.1</x:v>
      </x:c>
      <x:c r="C11" t="str">
        <x:v>%</x:v>
      </x:c>
      <x:c r="D11" t="str">
        <x:v>ASSUMPTION</x:v>
      </x:c>
      <x:c r="E11" t="str">
        <x:v>Cảnh báo an toàn vốn</x:v>
      </x:c>
      <x:c r="F11" t="str">
        <x:v>Analyst review</x:v>
      </x:c>
    </x:row>
  </x:sheetData>
  <x:mergeCells>
    <x:mergeCell ref="A1:F1"/>
  </x:mergeCells>
  <x:pageMargins left="0.7" right="0.7" top="0.75" bottom="0.75" header="0.3" footer="0.3"/>
</x:worksheet>
</file>